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umailsyr-my.sharepoint.com/personal/akumar50_syr_edu/Documents/IA/Investment simulation 3/"/>
    </mc:Choice>
  </mc:AlternateContent>
  <xr:revisionPtr revIDLastSave="3693" documentId="11_F9BF76234B6B43D132C352A5A64FAC4617EE5B5A" xr6:coauthVersionLast="47" xr6:coauthVersionMax="47" xr10:uidLastSave="{2DF8E1B0-40BD-40B4-84D1-FACA64F998F8}"/>
  <bookViews>
    <workbookView xWindow="-108" yWindow="-108" windowWidth="23256" windowHeight="12456" activeTab="2" xr2:uid="{00000000-000D-0000-FFFF-FFFF00000000}"/>
  </bookViews>
  <sheets>
    <sheet name="Introduction" sheetId="22" r:id="rId1"/>
    <sheet name="Data" sheetId="24" r:id="rId2"/>
    <sheet name="Models" sheetId="21" r:id="rId3"/>
    <sheet name="Chart1" sheetId="26" r:id="rId4"/>
  </sheets>
  <definedNames>
    <definedName name="__123Graph_A1" localSheetId="0" hidden="1">#REF!</definedName>
    <definedName name="__123Graph_LBL_A" localSheetId="0" hidden="1">#REF!</definedName>
    <definedName name="A">Data!$B$3</definedName>
    <definedName name="AllWts_P0">Models!$C$16:$C$35</definedName>
    <definedName name="AllWts_P0A">Models!$G$16:$G$35</definedName>
    <definedName name="AllWts_P1">Models!$K$16:$K$35</definedName>
    <definedName name="AllWts_P2">Models!$O$16:$O$35</definedName>
    <definedName name="AllWts_P3">Models!$S$16:$S$35</definedName>
    <definedName name="AllWts_P4">Models!$W$16:$W$35</definedName>
    <definedName name="AllWts_P5">Models!$AA$16:$AA$35</definedName>
    <definedName name="Alpha">OFFSET(Data!$C$8,1,0,NStocks,1)</definedName>
    <definedName name="alpha_P0">Models!$C$38</definedName>
    <definedName name="alpha_P0A">Models!$G$38</definedName>
    <definedName name="alpha_P1">Models!$K$38</definedName>
    <definedName name="alpha_P2">Models!$O$38</definedName>
    <definedName name="alpha_P3">Models!$S$38</definedName>
    <definedName name="alpha_P4">Models!$W$38</definedName>
    <definedName name="alpha_P5">Models!$AA$38</definedName>
    <definedName name="Beta">OFFSET(Data!$D$8,1,0,NStocks,1)</definedName>
    <definedName name="beta_P0">Models!$C$39</definedName>
    <definedName name="beta_P0A">Models!$G$39</definedName>
    <definedName name="beta_P1">Models!$K$39</definedName>
    <definedName name="beta_P2">Models!$O$39</definedName>
    <definedName name="beta_P3">Models!$S$39</definedName>
    <definedName name="beta_P4">Models!$W$39</definedName>
    <definedName name="beta_P5">Models!$AA$39</definedName>
    <definedName name="beta_P5_Max">Models!$AA$13</definedName>
    <definedName name="beta_P5_Min">Models!$Z$13</definedName>
    <definedName name="ConstrainWeights">Data!$G$5</definedName>
    <definedName name="Cov">OFFSET(Data!$CL$8,1,0,NStocks,NStocks)</definedName>
    <definedName name="Ell">OFFSET(Data!$AN$8,1,0,NStocks,1)</definedName>
    <definedName name="ER">OFFSET(Data!$AS$8,1,0,NStocks,1)</definedName>
    <definedName name="ER_M">Data!$B$5</definedName>
    <definedName name="ER_P0">Models!$C$41</definedName>
    <definedName name="ER_P0A">Models!$G$41</definedName>
    <definedName name="ER_P1">Models!$K$41</definedName>
    <definedName name="ER_P2">Models!$O$41</definedName>
    <definedName name="ER_P2_Max">Models!$O$13</definedName>
    <definedName name="ER_P2_Min">Models!$N$13</definedName>
    <definedName name="ER_P3">Models!$S$41</definedName>
    <definedName name="ER_P4">Models!$W$41</definedName>
    <definedName name="ER_P5">Models!$AA$41</definedName>
    <definedName name="EU_P0">Models!$C$43</definedName>
    <definedName name="EU_P1">Models!$K$43</definedName>
    <definedName name="EU_P2">Models!$O$43</definedName>
    <definedName name="EU_P3">Models!$S$43</definedName>
    <definedName name="EU_P4">Models!$W$43</definedName>
    <definedName name="MaxWtsColumnTitle">Models!$AE$14</definedName>
    <definedName name="MinWtsColumnTitle">Models!$AD$14</definedName>
    <definedName name="NStocks">Data!$B$2</definedName>
    <definedName name="PoL_P0">Models!$C$44</definedName>
    <definedName name="PoL_P1">Models!$K$44</definedName>
    <definedName name="PoL_P2">Models!$O$44</definedName>
    <definedName name="PoL_P3">Models!$S$44</definedName>
    <definedName name="PoL_P4">Models!$W$44</definedName>
    <definedName name="PoL_P5">Models!$AA$44</definedName>
    <definedName name="rf">Data!$B$4</definedName>
    <definedName name="sigma">OFFSET(Data!$AT$8,1,0,NStocks,1)</definedName>
    <definedName name="sigma_e">OFFSET(Data!$E$8,1,0,NStocks,1)</definedName>
    <definedName name="sigma_e_P0">Models!$C$40</definedName>
    <definedName name="sigma_e_P0A">Models!$G$40</definedName>
    <definedName name="sigma_e_P1">Models!$K$40</definedName>
    <definedName name="sigma_e_P2">Models!$O$40</definedName>
    <definedName name="sigma_e_P3">Models!$S$40</definedName>
    <definedName name="sigma_e_P4">Models!$W$40</definedName>
    <definedName name="sigma_e_P5">Models!$AA$40</definedName>
    <definedName name="sigma_M">Data!$B$6</definedName>
    <definedName name="sigma_P0">Models!$C$42</definedName>
    <definedName name="sigma_P0A">Models!$G$42</definedName>
    <definedName name="sigma_P1">Models!$K$42</definedName>
    <definedName name="sigma_P2">Models!$O$42</definedName>
    <definedName name="sigma_P3">Models!$S$42</definedName>
    <definedName name="sigma_P3_Max">Models!$S$13</definedName>
    <definedName name="sigma_P3_Min">Models!$R$13</definedName>
    <definedName name="sigma_P4">Models!$W$42</definedName>
    <definedName name="sigma_P5">Models!$AA$42</definedName>
    <definedName name="Slope_P0">Models!$C$45</definedName>
    <definedName name="Slope_P1">Models!$K$45</definedName>
    <definedName name="Slope_P2">Models!$O$45</definedName>
    <definedName name="Slope_P3">Models!$S$45</definedName>
    <definedName name="Slope_P4">Models!$W$45</definedName>
    <definedName name="solver_adj" localSheetId="1" hidden="1">Data!#REF!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ng" localSheetId="2" hidden="1">1</definedName>
    <definedName name="solver_est" localSheetId="1" hidden="1">1</definedName>
    <definedName name="solver_est" localSheetId="2" hidden="1">1</definedName>
    <definedName name="solver_itr" localSheetId="1" hidden="1">100</definedName>
    <definedName name="solver_itr" localSheetId="2" hidden="1">100</definedName>
    <definedName name="solver_lhs1" localSheetId="1" hidden="1">Data!#REF!</definedName>
    <definedName name="solver_lhs1" localSheetId="2" hidden="1">Models!$AA$39</definedName>
    <definedName name="solver_lhs2" localSheetId="1" hidden="1">Data!#REF!</definedName>
    <definedName name="solver_lhs2" localSheetId="2" hidden="1">Models!$AA$39</definedName>
    <definedName name="solver_lhs3" localSheetId="1" hidden="1">Data!#REF!</definedName>
    <definedName name="solver_lhs3" localSheetId="2" hidden="1">Models!$AA$16:$AA$29</definedName>
    <definedName name="solver_lhs4" localSheetId="1" hidden="1">Data!#REF!</definedName>
    <definedName name="solver_lhs4" localSheetId="2" hidden="1">Models!$AA$16:$AA$29</definedName>
    <definedName name="solver_lhs5" localSheetId="1" hidden="1">Data!#REF!</definedName>
    <definedName name="solver_lhs5" localSheetId="2" hidden="1">Models!$AA$37</definedName>
    <definedName name="solver_lin" localSheetId="1" hidden="1">2</definedName>
    <definedName name="solver_lin" localSheetId="2" hidden="1">2</definedName>
    <definedName name="solver_neg" localSheetId="1" hidden="1">2</definedName>
    <definedName name="solver_neg" localSheetId="2" hidden="1">1</definedName>
    <definedName name="solver_num" localSheetId="1" hidden="1">5</definedName>
    <definedName name="solver_num" localSheetId="2" hidden="1">0</definedName>
    <definedName name="solver_nwt" localSheetId="1" hidden="1">1</definedName>
    <definedName name="solver_nwt" localSheetId="2" hidden="1">1</definedName>
    <definedName name="solver_opt" localSheetId="1" hidden="1">Data!#REF!</definedName>
    <definedName name="solver_pre" localSheetId="1" hidden="1">0.000001</definedName>
    <definedName name="solver_pre" localSheetId="2" hidden="1">0.000001</definedName>
    <definedName name="solver_rel1" localSheetId="1" hidden="1">1</definedName>
    <definedName name="solver_rel1" localSheetId="2" hidden="1">1</definedName>
    <definedName name="solver_rel2" localSheetId="1" hidden="1">3</definedName>
    <definedName name="solver_rel2" localSheetId="2" hidden="1">3</definedName>
    <definedName name="solver_rel3" localSheetId="1" hidden="1">1</definedName>
    <definedName name="solver_rel3" localSheetId="2" hidden="1">1</definedName>
    <definedName name="solver_rel4" localSheetId="1" hidden="1">3</definedName>
    <definedName name="solver_rel4" localSheetId="2" hidden="1">3</definedName>
    <definedName name="solver_rel5" localSheetId="1" hidden="1">2</definedName>
    <definedName name="solver_rel5" localSheetId="2" hidden="1">2</definedName>
    <definedName name="solver_rhs1" localSheetId="1" hidden="1">[0]!ER_P2_Max</definedName>
    <definedName name="solver_rhs1" localSheetId="2" hidden="1">beta_P5_Max</definedName>
    <definedName name="solver_rhs2" localSheetId="1" hidden="1">[0]!ER_P2_Min</definedName>
    <definedName name="solver_rhs2" localSheetId="2" hidden="1">beta_P5_Min</definedName>
    <definedName name="solver_rhs3" localSheetId="1" hidden="1">[0]!Wts_Max</definedName>
    <definedName name="solver_rhs3" localSheetId="2" hidden="1">Models!AE16:AE29</definedName>
    <definedName name="solver_rhs4" localSheetId="1" hidden="1">[0]!Wts_Min</definedName>
    <definedName name="solver_rhs4" localSheetId="2" hidden="1">Models!AD16:AD29</definedName>
    <definedName name="solver_rhs5" localSheetId="1" hidden="1">1</definedName>
    <definedName name="solver_rhs5" localSheetId="2" hidden="1">1</definedName>
    <definedName name="solver_scl" localSheetId="1" hidden="1">2</definedName>
    <definedName name="solver_scl" localSheetId="2" hidden="1">2</definedName>
    <definedName name="solver_sho" localSheetId="1" hidden="1">2</definedName>
    <definedName name="solver_sho" localSheetId="2" hidden="1">2</definedName>
    <definedName name="solver_tim" localSheetId="1" hidden="1">100</definedName>
    <definedName name="solver_tim" localSheetId="2" hidden="1">100</definedName>
    <definedName name="solver_tol" localSheetId="1" hidden="1">0.05</definedName>
    <definedName name="solver_tol" localSheetId="2" hidden="1">0.05</definedName>
    <definedName name="solver_typ" localSheetId="1" hidden="1">2</definedName>
    <definedName name="solver_typ" localSheetId="2" hidden="1">1</definedName>
    <definedName name="solver_val" localSheetId="1" hidden="1">0</definedName>
    <definedName name="solver_val" localSheetId="2" hidden="1">0</definedName>
    <definedName name="solver_ver" localSheetId="2" hidden="1">3</definedName>
    <definedName name="StockTitle">Models!$AC$15</definedName>
    <definedName name="StockTitleRow">Models!$AC$14</definedName>
    <definedName name="SumWts_P0">Models!$C$37</definedName>
    <definedName name="SumWts_P0A">Models!$G$37</definedName>
    <definedName name="SumWts_P1">Models!$K$37</definedName>
    <definedName name="SumWts_P2">Models!$O$37</definedName>
    <definedName name="SumWts_P3">Models!$S$37</definedName>
    <definedName name="SumWts_P4">Models!$W$37</definedName>
    <definedName name="SumWts_P5">Models!$AA$37</definedName>
    <definedName name="Wts_Max">OFFSET(Models!$AE$16,1,0,NStocks,1)</definedName>
    <definedName name="Wts_Min">OFFSET(Models!$AD$16,1,0,NStocks,1)</definedName>
    <definedName name="Wts_P0">OFFSET(Models!$C$15,1,0,NStocks,1)</definedName>
    <definedName name="Wts_P0A">OFFSET(Models!$G$15,1,0,NStocks,1)</definedName>
    <definedName name="Wts_P1">OFFSET(Models!$K$15,1,0,NStocks,1)</definedName>
    <definedName name="Wts_P2">OFFSET(Models!$O$15,1,0,NStocks,1)</definedName>
    <definedName name="Wts_P3">OFFSET(Models!$S$15,1,0,NStocks,1)</definedName>
    <definedName name="Wts_P4">OFFSET(Models!$W$15,1,0,NStocks,1)</definedName>
    <definedName name="Wts_P5">OFFSET(Models!$AA$15,1,0,NStocks,1)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53" i="21" l="1"/>
  <c r="Z35" i="21"/>
  <c r="Z34" i="21"/>
  <c r="Z33" i="21"/>
  <c r="Z32" i="21"/>
  <c r="Z31" i="21"/>
  <c r="Z30" i="21"/>
  <c r="Z29" i="21"/>
  <c r="Z28" i="21"/>
  <c r="Z27" i="21"/>
  <c r="Z26" i="21"/>
  <c r="Z25" i="21"/>
  <c r="Z24" i="21"/>
  <c r="Z23" i="21"/>
  <c r="Z22" i="21"/>
  <c r="Z21" i="21"/>
  <c r="Z20" i="21"/>
  <c r="Z19" i="21"/>
  <c r="Z18" i="21"/>
  <c r="Z17" i="21"/>
  <c r="Z16" i="21"/>
  <c r="V35" i="21"/>
  <c r="V34" i="21"/>
  <c r="V33" i="21"/>
  <c r="V32" i="21"/>
  <c r="V31" i="21"/>
  <c r="V30" i="21"/>
  <c r="V29" i="21"/>
  <c r="V28" i="21"/>
  <c r="V27" i="21"/>
  <c r="V26" i="21"/>
  <c r="V25" i="21"/>
  <c r="V24" i="21"/>
  <c r="V23" i="21"/>
  <c r="V22" i="21"/>
  <c r="V21" i="21"/>
  <c r="V20" i="21"/>
  <c r="V19" i="21"/>
  <c r="V18" i="21"/>
  <c r="V17" i="21"/>
  <c r="V16" i="21"/>
  <c r="R35" i="21"/>
  <c r="R34" i="21"/>
  <c r="R33" i="21"/>
  <c r="R32" i="21"/>
  <c r="R31" i="21"/>
  <c r="R30" i="21"/>
  <c r="R29" i="21"/>
  <c r="R28" i="21"/>
  <c r="R27" i="21"/>
  <c r="R26" i="21"/>
  <c r="R25" i="21"/>
  <c r="R24" i="21"/>
  <c r="R23" i="21"/>
  <c r="R22" i="21"/>
  <c r="R21" i="21"/>
  <c r="R20" i="21"/>
  <c r="R19" i="21"/>
  <c r="R18" i="21"/>
  <c r="R17" i="21"/>
  <c r="R16" i="21"/>
  <c r="N35" i="21"/>
  <c r="N34" i="21"/>
  <c r="N33" i="21"/>
  <c r="N32" i="21"/>
  <c r="N31" i="21"/>
  <c r="N30" i="21"/>
  <c r="N29" i="21"/>
  <c r="N28" i="21"/>
  <c r="N27" i="21"/>
  <c r="N26" i="21"/>
  <c r="N25" i="21"/>
  <c r="N24" i="21"/>
  <c r="N23" i="21"/>
  <c r="N22" i="21"/>
  <c r="N21" i="21"/>
  <c r="N20" i="21"/>
  <c r="N19" i="21"/>
  <c r="N18" i="21"/>
  <c r="N17" i="21"/>
  <c r="N16" i="21"/>
  <c r="J35" i="21"/>
  <c r="J34" i="21"/>
  <c r="J33" i="21"/>
  <c r="J32" i="21"/>
  <c r="J31" i="21"/>
  <c r="J30" i="21"/>
  <c r="J29" i="21"/>
  <c r="J28" i="21"/>
  <c r="J27" i="21"/>
  <c r="J26" i="21"/>
  <c r="J25" i="21"/>
  <c r="J24" i="21"/>
  <c r="J23" i="21"/>
  <c r="J22" i="21"/>
  <c r="J21" i="21"/>
  <c r="J20" i="21"/>
  <c r="J19" i="21"/>
  <c r="J18" i="21"/>
  <c r="J17" i="21"/>
  <c r="J16" i="21"/>
  <c r="F35" i="21"/>
  <c r="F34" i="21"/>
  <c r="F33" i="21"/>
  <c r="F32" i="21"/>
  <c r="F31" i="21"/>
  <c r="F30" i="21"/>
  <c r="F29" i="21"/>
  <c r="F28" i="21"/>
  <c r="F27" i="21"/>
  <c r="F26" i="21"/>
  <c r="F25" i="21"/>
  <c r="F24" i="21"/>
  <c r="F23" i="21"/>
  <c r="F22" i="21"/>
  <c r="F21" i="21"/>
  <c r="F20" i="21"/>
  <c r="F19" i="21"/>
  <c r="F18" i="21"/>
  <c r="F17" i="21"/>
  <c r="F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16" i="21"/>
  <c r="AS10" i="24"/>
  <c r="AS11" i="24"/>
  <c r="AS12" i="24"/>
  <c r="AS13" i="24"/>
  <c r="AS14" i="24"/>
  <c r="AS15" i="24"/>
  <c r="AS16" i="24"/>
  <c r="AS17" i="24"/>
  <c r="AS18" i="24"/>
  <c r="AS19" i="24"/>
  <c r="AS20" i="24"/>
  <c r="AS21" i="24"/>
  <c r="AS22" i="24"/>
  <c r="AS23" i="24"/>
  <c r="AS24" i="24"/>
  <c r="AS25" i="24"/>
  <c r="AS26" i="24"/>
  <c r="AS27" i="24"/>
  <c r="AS28" i="24"/>
  <c r="AS9" i="24"/>
  <c r="BO8" i="24"/>
  <c r="BO28" i="24" s="1"/>
  <c r="BN8" i="24"/>
  <c r="CI8" i="24" s="1"/>
  <c r="BM8" i="24"/>
  <c r="CH8" i="24" s="1"/>
  <c r="BL8" i="24"/>
  <c r="CG8" i="24" s="1"/>
  <c r="BK8" i="24"/>
  <c r="CF8" i="24" s="1"/>
  <c r="BJ8" i="24"/>
  <c r="CE8" i="24" s="1"/>
  <c r="BI8" i="24"/>
  <c r="CD8" i="24" s="1"/>
  <c r="BH8" i="24"/>
  <c r="CC8" i="24" s="1"/>
  <c r="BG8" i="24"/>
  <c r="CB8" i="24" s="1"/>
  <c r="BF8" i="24"/>
  <c r="CA8" i="24" s="1"/>
  <c r="BE8" i="24"/>
  <c r="BZ8" i="24" s="1"/>
  <c r="BD8" i="24"/>
  <c r="BY8" i="24" s="1"/>
  <c r="BC8" i="24"/>
  <c r="BX8" i="24" s="1"/>
  <c r="BB8" i="24"/>
  <c r="BW8" i="24" s="1"/>
  <c r="BA8" i="24"/>
  <c r="BV8" i="24" s="1"/>
  <c r="AZ8" i="24"/>
  <c r="BU8" i="24" s="1"/>
  <c r="AY8" i="24"/>
  <c r="BT8" i="24" s="1"/>
  <c r="AX8" i="24"/>
  <c r="BS8" i="24" s="1"/>
  <c r="AW8" i="24"/>
  <c r="BR8" i="24" s="1"/>
  <c r="AV8" i="24"/>
  <c r="AV9" i="24" s="1"/>
  <c r="AT10" i="24"/>
  <c r="AT11" i="24"/>
  <c r="AT12" i="24"/>
  <c r="AT13" i="24"/>
  <c r="AT14" i="24"/>
  <c r="AT15" i="24"/>
  <c r="AT16" i="24"/>
  <c r="AT17" i="24"/>
  <c r="AT18" i="24"/>
  <c r="AT19" i="24"/>
  <c r="AT20" i="24"/>
  <c r="AT21" i="24"/>
  <c r="AT22" i="24"/>
  <c r="AT23" i="24"/>
  <c r="AT24" i="24"/>
  <c r="AT25" i="24"/>
  <c r="AT26" i="24"/>
  <c r="AT27" i="24"/>
  <c r="AT28" i="24"/>
  <c r="AT9" i="24"/>
  <c r="BQ8" i="24" l="1"/>
  <c r="CJ8" i="24"/>
  <c r="AW28" i="24"/>
  <c r="AY28" i="24"/>
  <c r="BA28" i="24"/>
  <c r="BC28" i="24"/>
  <c r="BE28" i="24"/>
  <c r="BG28" i="24"/>
  <c r="BI28" i="24"/>
  <c r="BK28" i="24"/>
  <c r="BM28" i="24"/>
  <c r="AX28" i="24"/>
  <c r="AZ28" i="24"/>
  <c r="BB28" i="24"/>
  <c r="BD28" i="24"/>
  <c r="BF28" i="24"/>
  <c r="BH28" i="24"/>
  <c r="BJ28" i="24"/>
  <c r="BL28" i="24"/>
  <c r="BN28" i="24"/>
  <c r="AW9" i="24"/>
  <c r="AY9" i="24"/>
  <c r="BA9" i="24"/>
  <c r="BC9" i="24"/>
  <c r="BE9" i="24"/>
  <c r="BG9" i="24"/>
  <c r="BI9" i="24"/>
  <c r="BK9" i="24"/>
  <c r="BM9" i="24"/>
  <c r="BO9" i="24"/>
  <c r="AW10" i="24"/>
  <c r="AY10" i="24"/>
  <c r="BA10" i="24"/>
  <c r="BC10" i="24"/>
  <c r="BE10" i="24"/>
  <c r="BG10" i="24"/>
  <c r="BI10" i="24"/>
  <c r="BK10" i="24"/>
  <c r="BM10" i="24"/>
  <c r="BO10" i="24"/>
  <c r="AW11" i="24"/>
  <c r="AY11" i="24"/>
  <c r="BA11" i="24"/>
  <c r="BC11" i="24"/>
  <c r="BE11" i="24"/>
  <c r="BG11" i="24"/>
  <c r="BI11" i="24"/>
  <c r="BK11" i="24"/>
  <c r="BM11" i="24"/>
  <c r="BO11" i="24"/>
  <c r="AW12" i="24"/>
  <c r="AY12" i="24"/>
  <c r="BA12" i="24"/>
  <c r="BC12" i="24"/>
  <c r="BE12" i="24"/>
  <c r="BG12" i="24"/>
  <c r="BI12" i="24"/>
  <c r="BK12" i="24"/>
  <c r="BM12" i="24"/>
  <c r="BO12" i="24"/>
  <c r="AW13" i="24"/>
  <c r="AY13" i="24"/>
  <c r="BA13" i="24"/>
  <c r="BC13" i="24"/>
  <c r="BE13" i="24"/>
  <c r="BG13" i="24"/>
  <c r="BI13" i="24"/>
  <c r="BK13" i="24"/>
  <c r="BM13" i="24"/>
  <c r="BO13" i="24"/>
  <c r="AW14" i="24"/>
  <c r="AY14" i="24"/>
  <c r="BA14" i="24"/>
  <c r="BC14" i="24"/>
  <c r="BE14" i="24"/>
  <c r="BG14" i="24"/>
  <c r="BI14" i="24"/>
  <c r="BK14" i="24"/>
  <c r="BM14" i="24"/>
  <c r="BO14" i="24"/>
  <c r="AW15" i="24"/>
  <c r="AY15" i="24"/>
  <c r="BA15" i="24"/>
  <c r="BC15" i="24"/>
  <c r="BE15" i="24"/>
  <c r="BG15" i="24"/>
  <c r="BI15" i="24"/>
  <c r="BK15" i="24"/>
  <c r="BM15" i="24"/>
  <c r="BO15" i="24"/>
  <c r="AW16" i="24"/>
  <c r="AY16" i="24"/>
  <c r="BA16" i="24"/>
  <c r="BC16" i="24"/>
  <c r="BE16" i="24"/>
  <c r="BG16" i="24"/>
  <c r="BI16" i="24"/>
  <c r="BK16" i="24"/>
  <c r="BM16" i="24"/>
  <c r="BO16" i="24"/>
  <c r="AW17" i="24"/>
  <c r="AY17" i="24"/>
  <c r="BA17" i="24"/>
  <c r="BC17" i="24"/>
  <c r="BE17" i="24"/>
  <c r="BG17" i="24"/>
  <c r="BI17" i="24"/>
  <c r="BK17" i="24"/>
  <c r="BM17" i="24"/>
  <c r="BO17" i="24"/>
  <c r="AW18" i="24"/>
  <c r="AY18" i="24"/>
  <c r="BA18" i="24"/>
  <c r="BC18" i="24"/>
  <c r="BE18" i="24"/>
  <c r="BG18" i="24"/>
  <c r="BI18" i="24"/>
  <c r="BK18" i="24"/>
  <c r="BM18" i="24"/>
  <c r="BO18" i="24"/>
  <c r="AW19" i="24"/>
  <c r="AY19" i="24"/>
  <c r="BA19" i="24"/>
  <c r="BC19" i="24"/>
  <c r="BE19" i="24"/>
  <c r="BG19" i="24"/>
  <c r="BI19" i="24"/>
  <c r="BK19" i="24"/>
  <c r="BM19" i="24"/>
  <c r="BO19" i="24"/>
  <c r="AW20" i="24"/>
  <c r="AY20" i="24"/>
  <c r="BA20" i="24"/>
  <c r="BC20" i="24"/>
  <c r="BE20" i="24"/>
  <c r="BG20" i="24"/>
  <c r="BI20" i="24"/>
  <c r="BK20" i="24"/>
  <c r="BM20" i="24"/>
  <c r="BO20" i="24"/>
  <c r="AW21" i="24"/>
  <c r="AY21" i="24"/>
  <c r="BA21" i="24"/>
  <c r="BC21" i="24"/>
  <c r="BE21" i="24"/>
  <c r="BG21" i="24"/>
  <c r="BI21" i="24"/>
  <c r="BK21" i="24"/>
  <c r="BM21" i="24"/>
  <c r="BO21" i="24"/>
  <c r="AW22" i="24"/>
  <c r="AY22" i="24"/>
  <c r="BA22" i="24"/>
  <c r="BC22" i="24"/>
  <c r="BE22" i="24"/>
  <c r="BG22" i="24"/>
  <c r="BI22" i="24"/>
  <c r="BK22" i="24"/>
  <c r="BM22" i="24"/>
  <c r="BO22" i="24"/>
  <c r="AW23" i="24"/>
  <c r="AY23" i="24"/>
  <c r="BA23" i="24"/>
  <c r="BC23" i="24"/>
  <c r="BE23" i="24"/>
  <c r="BG23" i="24"/>
  <c r="BI23" i="24"/>
  <c r="BK23" i="24"/>
  <c r="BM23" i="24"/>
  <c r="BO23" i="24"/>
  <c r="AW24" i="24"/>
  <c r="AY24" i="24"/>
  <c r="BA24" i="24"/>
  <c r="BC24" i="24"/>
  <c r="BE24" i="24"/>
  <c r="BG24" i="24"/>
  <c r="BI24" i="24"/>
  <c r="BK24" i="24"/>
  <c r="BM24" i="24"/>
  <c r="BO24" i="24"/>
  <c r="AW25" i="24"/>
  <c r="AY25" i="24"/>
  <c r="BA25" i="24"/>
  <c r="BC25" i="24"/>
  <c r="BE25" i="24"/>
  <c r="BG25" i="24"/>
  <c r="BI25" i="24"/>
  <c r="BK25" i="24"/>
  <c r="BM25" i="24"/>
  <c r="BO25" i="24"/>
  <c r="AW26" i="24"/>
  <c r="AY26" i="24"/>
  <c r="BA26" i="24"/>
  <c r="BC26" i="24"/>
  <c r="BE26" i="24"/>
  <c r="BG26" i="24"/>
  <c r="BI26" i="24"/>
  <c r="BK26" i="24"/>
  <c r="BM26" i="24"/>
  <c r="BO26" i="24"/>
  <c r="AW27" i="24"/>
  <c r="AY27" i="24"/>
  <c r="BA27" i="24"/>
  <c r="BC27" i="24"/>
  <c r="BE27" i="24"/>
  <c r="BG27" i="24"/>
  <c r="BI27" i="24"/>
  <c r="BK27" i="24"/>
  <c r="BM27" i="24"/>
  <c r="BO27" i="24"/>
  <c r="AX9" i="24"/>
  <c r="AZ9" i="24"/>
  <c r="BB9" i="24"/>
  <c r="BD9" i="24"/>
  <c r="BF9" i="24"/>
  <c r="BH9" i="24"/>
  <c r="BJ9" i="24"/>
  <c r="BL9" i="24"/>
  <c r="BN9" i="24"/>
  <c r="AV10" i="24"/>
  <c r="AX10" i="24"/>
  <c r="AZ10" i="24"/>
  <c r="BB10" i="24"/>
  <c r="BD10" i="24"/>
  <c r="BF10" i="24"/>
  <c r="BH10" i="24"/>
  <c r="BJ10" i="24"/>
  <c r="BL10" i="24"/>
  <c r="BN10" i="24"/>
  <c r="AV11" i="24"/>
  <c r="AX11" i="24"/>
  <c r="AZ11" i="24"/>
  <c r="BB11" i="24"/>
  <c r="BD11" i="24"/>
  <c r="BF11" i="24"/>
  <c r="BH11" i="24"/>
  <c r="BJ11" i="24"/>
  <c r="BL11" i="24"/>
  <c r="BN11" i="24"/>
  <c r="AV12" i="24"/>
  <c r="AX12" i="24"/>
  <c r="AZ12" i="24"/>
  <c r="BB12" i="24"/>
  <c r="BD12" i="24"/>
  <c r="BF12" i="24"/>
  <c r="BH12" i="24"/>
  <c r="BJ12" i="24"/>
  <c r="BL12" i="24"/>
  <c r="BN12" i="24"/>
  <c r="AV13" i="24"/>
  <c r="AX13" i="24"/>
  <c r="AZ13" i="24"/>
  <c r="BB13" i="24"/>
  <c r="BD13" i="24"/>
  <c r="BF13" i="24"/>
  <c r="BH13" i="24"/>
  <c r="BJ13" i="24"/>
  <c r="BL13" i="24"/>
  <c r="BN13" i="24"/>
  <c r="AV14" i="24"/>
  <c r="AX14" i="24"/>
  <c r="AZ14" i="24"/>
  <c r="BB14" i="24"/>
  <c r="BD14" i="24"/>
  <c r="BF14" i="24"/>
  <c r="BH14" i="24"/>
  <c r="BJ14" i="24"/>
  <c r="BL14" i="24"/>
  <c r="BN14" i="24"/>
  <c r="AV15" i="24"/>
  <c r="AX15" i="24"/>
  <c r="AZ15" i="24"/>
  <c r="BB15" i="24"/>
  <c r="BD15" i="24"/>
  <c r="BF15" i="24"/>
  <c r="BH15" i="24"/>
  <c r="BJ15" i="24"/>
  <c r="BL15" i="24"/>
  <c r="BN15" i="24"/>
  <c r="AV16" i="24"/>
  <c r="AX16" i="24"/>
  <c r="AZ16" i="24"/>
  <c r="BB16" i="24"/>
  <c r="BD16" i="24"/>
  <c r="BF16" i="24"/>
  <c r="BH16" i="24"/>
  <c r="BJ16" i="24"/>
  <c r="BL16" i="24"/>
  <c r="BN16" i="24"/>
  <c r="AV17" i="24"/>
  <c r="AX17" i="24"/>
  <c r="AZ17" i="24"/>
  <c r="BB17" i="24"/>
  <c r="BD17" i="24"/>
  <c r="BF17" i="24"/>
  <c r="BH17" i="24"/>
  <c r="BJ17" i="24"/>
  <c r="BL17" i="24"/>
  <c r="BN17" i="24"/>
  <c r="AV18" i="24"/>
  <c r="AX18" i="24"/>
  <c r="AZ18" i="24"/>
  <c r="BB18" i="24"/>
  <c r="BD18" i="24"/>
  <c r="BF18" i="24"/>
  <c r="BH18" i="24"/>
  <c r="BJ18" i="24"/>
  <c r="BL18" i="24"/>
  <c r="BN18" i="24"/>
  <c r="AV19" i="24"/>
  <c r="AX19" i="24"/>
  <c r="AZ19" i="24"/>
  <c r="BB19" i="24"/>
  <c r="BD19" i="24"/>
  <c r="BF19" i="24"/>
  <c r="BH19" i="24"/>
  <c r="BJ19" i="24"/>
  <c r="BL19" i="24"/>
  <c r="BN19" i="24"/>
  <c r="AV20" i="24"/>
  <c r="AX20" i="24"/>
  <c r="AZ20" i="24"/>
  <c r="BB20" i="24"/>
  <c r="BD20" i="24"/>
  <c r="BF20" i="24"/>
  <c r="BH20" i="24"/>
  <c r="BJ20" i="24"/>
  <c r="BL20" i="24"/>
  <c r="BN20" i="24"/>
  <c r="AV21" i="24"/>
  <c r="AX21" i="24"/>
  <c r="AZ21" i="24"/>
  <c r="BB21" i="24"/>
  <c r="BD21" i="24"/>
  <c r="BF21" i="24"/>
  <c r="BH21" i="24"/>
  <c r="BJ21" i="24"/>
  <c r="BL21" i="24"/>
  <c r="BN21" i="24"/>
  <c r="AV22" i="24"/>
  <c r="AX22" i="24"/>
  <c r="AZ22" i="24"/>
  <c r="BB22" i="24"/>
  <c r="BD22" i="24"/>
  <c r="BF22" i="24"/>
  <c r="BH22" i="24"/>
  <c r="BJ22" i="24"/>
  <c r="BL22" i="24"/>
  <c r="BN22" i="24"/>
  <c r="AV23" i="24"/>
  <c r="AX23" i="24"/>
  <c r="AZ23" i="24"/>
  <c r="BB23" i="24"/>
  <c r="BD23" i="24"/>
  <c r="BF23" i="24"/>
  <c r="BH23" i="24"/>
  <c r="BJ23" i="24"/>
  <c r="BL23" i="24"/>
  <c r="BN23" i="24"/>
  <c r="AV24" i="24"/>
  <c r="AX24" i="24"/>
  <c r="AZ24" i="24"/>
  <c r="BB24" i="24"/>
  <c r="BD24" i="24"/>
  <c r="BF24" i="24"/>
  <c r="BH24" i="24"/>
  <c r="BJ24" i="24"/>
  <c r="BL24" i="24"/>
  <c r="BN24" i="24"/>
  <c r="AV25" i="24"/>
  <c r="AX25" i="24"/>
  <c r="AZ25" i="24"/>
  <c r="BB25" i="24"/>
  <c r="BD25" i="24"/>
  <c r="BF25" i="24"/>
  <c r="BH25" i="24"/>
  <c r="BJ25" i="24"/>
  <c r="BL25" i="24"/>
  <c r="BN25" i="24"/>
  <c r="AV26" i="24"/>
  <c r="AX26" i="24"/>
  <c r="AZ26" i="24"/>
  <c r="BB26" i="24"/>
  <c r="BD26" i="24"/>
  <c r="BF26" i="24"/>
  <c r="BH26" i="24"/>
  <c r="BJ26" i="24"/>
  <c r="BL26" i="24"/>
  <c r="BN26" i="24"/>
  <c r="AV27" i="24"/>
  <c r="AX27" i="24"/>
  <c r="AZ27" i="24"/>
  <c r="BB27" i="24"/>
  <c r="BD27" i="24"/>
  <c r="BF27" i="24"/>
  <c r="BH27" i="24"/>
  <c r="BJ27" i="24"/>
  <c r="BL27" i="24"/>
  <c r="BN27" i="24"/>
  <c r="AV28" i="24"/>
  <c r="AD14" i="21" l="1"/>
  <c r="AE14" i="21"/>
  <c r="AD16" i="21"/>
  <c r="AD17" i="21"/>
  <c r="AD18" i="21"/>
  <c r="AD19" i="21"/>
  <c r="AD20" i="21"/>
  <c r="AD21" i="21"/>
  <c r="AD22" i="21"/>
  <c r="AD23" i="21"/>
  <c r="AD24" i="21"/>
  <c r="AD25" i="21"/>
  <c r="AD26" i="21"/>
  <c r="AD27" i="21"/>
  <c r="AD28" i="21"/>
  <c r="AC14" i="21"/>
  <c r="AD29" i="21"/>
  <c r="AD30" i="21"/>
  <c r="AD31" i="21"/>
  <c r="AD32" i="21"/>
  <c r="AD33" i="21"/>
  <c r="AD34" i="21"/>
  <c r="AD35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T13" i="21"/>
  <c r="P13" i="21" l="1"/>
  <c r="CJ10" i="24" l="1"/>
  <c r="DE8" i="24" l="1"/>
  <c r="CJ19" i="24"/>
  <c r="CJ24" i="24"/>
  <c r="CJ25" i="24"/>
  <c r="CJ11" i="24"/>
  <c r="CJ16" i="24"/>
  <c r="CJ27" i="24"/>
  <c r="CJ23" i="24"/>
  <c r="CJ15" i="24"/>
  <c r="CJ28" i="24"/>
  <c r="DE28" i="24" s="1"/>
  <c r="CJ20" i="24"/>
  <c r="CJ12" i="24"/>
  <c r="CJ21" i="24"/>
  <c r="CJ17" i="24"/>
  <c r="CJ13" i="24"/>
  <c r="CJ9" i="24"/>
  <c r="CJ26" i="24"/>
  <c r="CJ22" i="24"/>
  <c r="CJ18" i="24"/>
  <c r="CJ14" i="24"/>
  <c r="CI9" i="24"/>
  <c r="CI11" i="24"/>
  <c r="CI13" i="24"/>
  <c r="CI15" i="24"/>
  <c r="CI17" i="24"/>
  <c r="CI19" i="24"/>
  <c r="CI21" i="24"/>
  <c r="CI23" i="24"/>
  <c r="CI25" i="24"/>
  <c r="CI27" i="24"/>
  <c r="DD27" i="24" s="1"/>
  <c r="CI10" i="24"/>
  <c r="CI12" i="24"/>
  <c r="CI14" i="24"/>
  <c r="CI16" i="24"/>
  <c r="CI18" i="24"/>
  <c r="CI20" i="24"/>
  <c r="CI22" i="24"/>
  <c r="CI24" i="24"/>
  <c r="CI26" i="24"/>
  <c r="CI28" i="24"/>
  <c r="CE9" i="24"/>
  <c r="CE11" i="24"/>
  <c r="CE13" i="24"/>
  <c r="CE15" i="24"/>
  <c r="CE17" i="24"/>
  <c r="CE19" i="24"/>
  <c r="CE21" i="24"/>
  <c r="CE23" i="24"/>
  <c r="CZ23" i="24" s="1"/>
  <c r="CE25" i="24"/>
  <c r="CE27" i="24"/>
  <c r="CE10" i="24"/>
  <c r="CE12" i="24"/>
  <c r="CE14" i="24"/>
  <c r="CE16" i="24"/>
  <c r="CE18" i="24"/>
  <c r="CE20" i="24"/>
  <c r="CE22" i="24"/>
  <c r="CE24" i="24"/>
  <c r="CE26" i="24"/>
  <c r="CE28" i="24"/>
  <c r="CA9" i="24"/>
  <c r="CA11" i="24"/>
  <c r="CA13" i="24"/>
  <c r="CA15" i="24"/>
  <c r="CA17" i="24"/>
  <c r="CA19" i="24"/>
  <c r="CV19" i="24" s="1"/>
  <c r="CA21" i="24"/>
  <c r="CA23" i="24"/>
  <c r="CA25" i="24"/>
  <c r="CA27" i="24"/>
  <c r="CA10" i="24"/>
  <c r="CA12" i="24"/>
  <c r="CA14" i="24"/>
  <c r="CA16" i="24"/>
  <c r="CA18" i="24"/>
  <c r="CA20" i="24"/>
  <c r="CA22" i="24"/>
  <c r="CA24" i="24"/>
  <c r="CA26" i="24"/>
  <c r="CA28" i="24"/>
  <c r="BW9" i="24"/>
  <c r="BW11" i="24"/>
  <c r="BW13" i="24"/>
  <c r="BW15" i="24"/>
  <c r="BW17" i="24"/>
  <c r="BW19" i="24"/>
  <c r="BW21" i="24"/>
  <c r="BW23" i="24"/>
  <c r="BW25" i="24"/>
  <c r="BW27" i="24"/>
  <c r="BW10" i="24"/>
  <c r="BW12" i="24"/>
  <c r="BW14" i="24"/>
  <c r="BW16" i="24"/>
  <c r="BW18" i="24"/>
  <c r="BW20" i="24"/>
  <c r="BW22" i="24"/>
  <c r="BW24" i="24"/>
  <c r="BW26" i="24"/>
  <c r="BW28" i="24"/>
  <c r="BS9" i="24"/>
  <c r="BS11" i="24"/>
  <c r="BS13" i="24"/>
  <c r="BS15" i="24"/>
  <c r="BS17" i="24"/>
  <c r="BS19" i="24"/>
  <c r="BS21" i="24"/>
  <c r="BS23" i="24"/>
  <c r="BS25" i="24"/>
  <c r="BS27" i="24"/>
  <c r="BS10" i="24"/>
  <c r="BS12" i="24"/>
  <c r="BS14" i="24"/>
  <c r="BS16" i="24"/>
  <c r="BS18" i="24"/>
  <c r="BS20" i="24"/>
  <c r="BS22" i="24"/>
  <c r="BS24" i="24"/>
  <c r="BS26" i="24"/>
  <c r="BS28" i="24"/>
  <c r="CF10" i="24"/>
  <c r="CF12" i="24"/>
  <c r="CF14" i="24"/>
  <c r="CF16" i="24"/>
  <c r="CF18" i="24"/>
  <c r="CF20" i="24"/>
  <c r="CF22" i="24"/>
  <c r="CF24" i="24"/>
  <c r="DA24" i="24" s="1"/>
  <c r="CF26" i="24"/>
  <c r="CF28" i="24"/>
  <c r="CF9" i="24"/>
  <c r="CF11" i="24"/>
  <c r="CF13" i="24"/>
  <c r="CF15" i="24"/>
  <c r="CF17" i="24"/>
  <c r="CF19" i="24"/>
  <c r="CF21" i="24"/>
  <c r="CF23" i="24"/>
  <c r="CF25" i="24"/>
  <c r="CF27" i="24"/>
  <c r="CB10" i="24"/>
  <c r="CB12" i="24"/>
  <c r="CB14" i="24"/>
  <c r="CB16" i="24"/>
  <c r="CB18" i="24"/>
  <c r="CB20" i="24"/>
  <c r="CW20" i="24" s="1"/>
  <c r="CB22" i="24"/>
  <c r="CB24" i="24"/>
  <c r="CB26" i="24"/>
  <c r="CB28" i="24"/>
  <c r="CB9" i="24"/>
  <c r="CB11" i="24"/>
  <c r="CB13" i="24"/>
  <c r="CB15" i="24"/>
  <c r="CB17" i="24"/>
  <c r="CB19" i="24"/>
  <c r="CB21" i="24"/>
  <c r="CB23" i="24"/>
  <c r="CB25" i="24"/>
  <c r="CB27" i="24"/>
  <c r="BX10" i="24"/>
  <c r="BX12" i="24"/>
  <c r="BX14" i="24"/>
  <c r="BX16" i="24"/>
  <c r="BX18" i="24"/>
  <c r="BX20" i="24"/>
  <c r="BX22" i="24"/>
  <c r="BX24" i="24"/>
  <c r="BX26" i="24"/>
  <c r="BX28" i="24"/>
  <c r="BX9" i="24"/>
  <c r="BX11" i="24"/>
  <c r="BX13" i="24"/>
  <c r="BX15" i="24"/>
  <c r="BX17" i="24"/>
  <c r="BX19" i="24"/>
  <c r="BX21" i="24"/>
  <c r="BX23" i="24"/>
  <c r="BX25" i="24"/>
  <c r="BX27" i="24"/>
  <c r="BT10" i="24"/>
  <c r="BT12" i="24"/>
  <c r="BT14" i="24"/>
  <c r="BT16" i="24"/>
  <c r="BT18" i="24"/>
  <c r="BT20" i="24"/>
  <c r="BT22" i="24"/>
  <c r="BT24" i="24"/>
  <c r="BT26" i="24"/>
  <c r="BT28" i="24"/>
  <c r="BT9" i="24"/>
  <c r="BT11" i="24"/>
  <c r="BT13" i="24"/>
  <c r="BT15" i="24"/>
  <c r="BT17" i="24"/>
  <c r="BT19" i="24"/>
  <c r="BT21" i="24"/>
  <c r="BT23" i="24"/>
  <c r="BT25" i="24"/>
  <c r="BT27" i="24"/>
  <c r="CG9" i="24"/>
  <c r="CG11" i="24"/>
  <c r="CG13" i="24"/>
  <c r="CG15" i="24"/>
  <c r="CG17" i="24"/>
  <c r="CG19" i="24"/>
  <c r="CG21" i="24"/>
  <c r="CG23" i="24"/>
  <c r="CG25" i="24"/>
  <c r="DB25" i="24" s="1"/>
  <c r="CG27" i="24"/>
  <c r="CG10" i="24"/>
  <c r="CG12" i="24"/>
  <c r="CG14" i="24"/>
  <c r="CG16" i="24"/>
  <c r="CG18" i="24"/>
  <c r="CG20" i="24"/>
  <c r="CG22" i="24"/>
  <c r="CG24" i="24"/>
  <c r="CG26" i="24"/>
  <c r="CG28" i="24"/>
  <c r="CC9" i="24"/>
  <c r="CC11" i="24"/>
  <c r="CC13" i="24"/>
  <c r="CC15" i="24"/>
  <c r="CC17" i="24"/>
  <c r="CC19" i="24"/>
  <c r="CC21" i="24"/>
  <c r="CX21" i="24" s="1"/>
  <c r="CC23" i="24"/>
  <c r="CC25" i="24"/>
  <c r="CC27" i="24"/>
  <c r="CC10" i="24"/>
  <c r="CC12" i="24"/>
  <c r="CC14" i="24"/>
  <c r="CC16" i="24"/>
  <c r="CC18" i="24"/>
  <c r="CC20" i="24"/>
  <c r="CC22" i="24"/>
  <c r="CC24" i="24"/>
  <c r="CC26" i="24"/>
  <c r="CC28" i="24"/>
  <c r="BY9" i="24"/>
  <c r="BY11" i="24"/>
  <c r="BY13" i="24"/>
  <c r="BY15" i="24"/>
  <c r="BY17" i="24"/>
  <c r="BY19" i="24"/>
  <c r="BY21" i="24"/>
  <c r="BY23" i="24"/>
  <c r="BY25" i="24"/>
  <c r="BY27" i="24"/>
  <c r="BY10" i="24"/>
  <c r="BY12" i="24"/>
  <c r="BY14" i="24"/>
  <c r="BY16" i="24"/>
  <c r="BY18" i="24"/>
  <c r="BY20" i="24"/>
  <c r="BY22" i="24"/>
  <c r="BY24" i="24"/>
  <c r="BY26" i="24"/>
  <c r="BY28" i="24"/>
  <c r="BU9" i="24"/>
  <c r="BU11" i="24"/>
  <c r="BU13" i="24"/>
  <c r="BU15" i="24"/>
  <c r="BU17" i="24"/>
  <c r="BU19" i="24"/>
  <c r="BU21" i="24"/>
  <c r="BU23" i="24"/>
  <c r="BU25" i="24"/>
  <c r="BU27" i="24"/>
  <c r="BU10" i="24"/>
  <c r="BU12" i="24"/>
  <c r="BU14" i="24"/>
  <c r="BU16" i="24"/>
  <c r="BU18" i="24"/>
  <c r="BU20" i="24"/>
  <c r="BU22" i="24"/>
  <c r="BU24" i="24"/>
  <c r="BU26" i="24"/>
  <c r="BU28" i="24"/>
  <c r="CH10" i="24"/>
  <c r="CH12" i="24"/>
  <c r="CH14" i="24"/>
  <c r="CH16" i="24"/>
  <c r="CH18" i="24"/>
  <c r="CH20" i="24"/>
  <c r="CH22" i="24"/>
  <c r="CH24" i="24"/>
  <c r="CH26" i="24"/>
  <c r="DC26" i="24" s="1"/>
  <c r="CH28" i="24"/>
  <c r="CH9" i="24"/>
  <c r="CH11" i="24"/>
  <c r="CH13" i="24"/>
  <c r="CH15" i="24"/>
  <c r="CH17" i="24"/>
  <c r="CH19" i="24"/>
  <c r="CH21" i="24"/>
  <c r="CH23" i="24"/>
  <c r="CH25" i="24"/>
  <c r="CH27" i="24"/>
  <c r="CD10" i="24"/>
  <c r="CD12" i="24"/>
  <c r="CD14" i="24"/>
  <c r="CD16" i="24"/>
  <c r="CD18" i="24"/>
  <c r="CD20" i="24"/>
  <c r="CD22" i="24"/>
  <c r="CY22" i="24" s="1"/>
  <c r="CD24" i="24"/>
  <c r="CD26" i="24"/>
  <c r="CD28" i="24"/>
  <c r="CD9" i="24"/>
  <c r="CD11" i="24"/>
  <c r="CD13" i="24"/>
  <c r="CD15" i="24"/>
  <c r="CD17" i="24"/>
  <c r="CD19" i="24"/>
  <c r="CD21" i="24"/>
  <c r="CD23" i="24"/>
  <c r="CD25" i="24"/>
  <c r="CD27" i="24"/>
  <c r="BZ10" i="24"/>
  <c r="BZ12" i="24"/>
  <c r="BZ14" i="24"/>
  <c r="BZ16" i="24"/>
  <c r="BZ18" i="24"/>
  <c r="BZ20" i="24"/>
  <c r="BZ22" i="24"/>
  <c r="BZ24" i="24"/>
  <c r="BZ26" i="24"/>
  <c r="BZ28" i="24"/>
  <c r="BZ9" i="24"/>
  <c r="BZ11" i="24"/>
  <c r="BZ13" i="24"/>
  <c r="BZ15" i="24"/>
  <c r="BZ17" i="24"/>
  <c r="BZ19" i="24"/>
  <c r="BZ21" i="24"/>
  <c r="BZ23" i="24"/>
  <c r="BZ25" i="24"/>
  <c r="BZ27" i="24"/>
  <c r="BV10" i="24"/>
  <c r="BV12" i="24"/>
  <c r="BV14" i="24"/>
  <c r="BV16" i="24"/>
  <c r="BV18" i="24"/>
  <c r="BV20" i="24"/>
  <c r="BV22" i="24"/>
  <c r="BV24" i="24"/>
  <c r="BV26" i="24"/>
  <c r="BV28" i="24"/>
  <c r="BV9" i="24"/>
  <c r="BV11" i="24"/>
  <c r="BV13" i="24"/>
  <c r="BV15" i="24"/>
  <c r="BV17" i="24"/>
  <c r="BV19" i="24"/>
  <c r="BV21" i="24"/>
  <c r="BV23" i="24"/>
  <c r="BV25" i="24"/>
  <c r="BV27" i="24"/>
  <c r="BR10" i="24"/>
  <c r="BR12" i="24"/>
  <c r="BR14" i="24"/>
  <c r="BR16" i="24"/>
  <c r="BR18" i="24"/>
  <c r="BR20" i="24"/>
  <c r="BR22" i="24"/>
  <c r="BR24" i="24"/>
  <c r="BR26" i="24"/>
  <c r="BR28" i="24"/>
  <c r="BR9" i="24"/>
  <c r="BR11" i="24"/>
  <c r="BR13" i="24"/>
  <c r="BR15" i="24"/>
  <c r="BR17" i="24"/>
  <c r="BR19" i="24"/>
  <c r="BR21" i="24"/>
  <c r="BR23" i="24"/>
  <c r="BR25" i="24"/>
  <c r="BR27" i="24"/>
  <c r="BQ9" i="24"/>
  <c r="BQ11" i="24"/>
  <c r="BQ13" i="24"/>
  <c r="BQ15" i="24"/>
  <c r="BQ17" i="24"/>
  <c r="BQ19" i="24"/>
  <c r="BQ21" i="24"/>
  <c r="BQ23" i="24"/>
  <c r="BQ25" i="24"/>
  <c r="BQ27" i="24"/>
  <c r="BQ10" i="24"/>
  <c r="BQ12" i="24"/>
  <c r="BQ14" i="24"/>
  <c r="BQ16" i="24"/>
  <c r="BQ18" i="24"/>
  <c r="BQ20" i="24"/>
  <c r="BQ22" i="24"/>
  <c r="BQ24" i="24"/>
  <c r="BQ26" i="24"/>
  <c r="BQ28" i="24"/>
  <c r="DB8" i="24"/>
  <c r="CX8" i="24"/>
  <c r="CT8" i="24"/>
  <c r="CP8" i="24"/>
  <c r="DC8" i="24"/>
  <c r="CY8" i="24"/>
  <c r="CU8" i="24"/>
  <c r="CQ8" i="24"/>
  <c r="CM8" i="24"/>
  <c r="DD8" i="24"/>
  <c r="CZ8" i="24"/>
  <c r="CV8" i="24"/>
  <c r="CR8" i="24"/>
  <c r="CN8" i="24"/>
  <c r="DA8" i="24"/>
  <c r="CW8" i="24"/>
  <c r="CS8" i="24"/>
  <c r="CO8" i="24"/>
  <c r="CL8" i="24"/>
  <c r="CL9" i="24" l="1"/>
  <c r="CO12" i="24"/>
  <c r="CS16" i="24"/>
  <c r="CN11" i="24"/>
  <c r="CR15" i="24"/>
  <c r="CM10" i="24"/>
  <c r="CQ14" i="24"/>
  <c r="CU18" i="24"/>
  <c r="CP13" i="24"/>
  <c r="CT17" i="24"/>
  <c r="CL25" i="24" l="1"/>
  <c r="CU25" i="24"/>
  <c r="DB19" i="24"/>
  <c r="CU23" i="24"/>
  <c r="CU26" i="24"/>
  <c r="CO20" i="24"/>
  <c r="CT24" i="24"/>
  <c r="CP24" i="24"/>
  <c r="CU24" i="24"/>
  <c r="CU20" i="24"/>
  <c r="CU19" i="24"/>
  <c r="CU10" i="24"/>
  <c r="CN18" i="24"/>
  <c r="CY25" i="24"/>
  <c r="CT25" i="24"/>
  <c r="CZ21" i="24"/>
  <c r="DD24" i="24"/>
  <c r="DD20" i="24"/>
  <c r="DD19" i="24"/>
  <c r="DA20" i="24"/>
  <c r="CY19" i="24"/>
  <c r="CV20" i="24"/>
  <c r="CS24" i="24"/>
  <c r="DA27" i="24"/>
  <c r="CU22" i="24"/>
  <c r="CT28" i="24"/>
  <c r="CM28" i="24"/>
  <c r="CX27" i="24"/>
  <c r="CU21" i="24"/>
  <c r="CU14" i="24"/>
  <c r="CN27" i="24"/>
  <c r="CU16" i="24"/>
  <c r="CO28" i="24"/>
  <c r="CS23" i="24"/>
  <c r="CV23" i="24"/>
  <c r="CN23" i="24"/>
  <c r="CU13" i="24"/>
  <c r="CU27" i="24"/>
  <c r="CU28" i="24"/>
  <c r="CL15" i="24"/>
  <c r="CY14" i="24"/>
  <c r="CP27" i="24"/>
  <c r="CX26" i="24"/>
  <c r="CN14" i="24"/>
  <c r="CT13" i="24"/>
  <c r="CU9" i="24"/>
  <c r="CU15" i="24"/>
  <c r="CU12" i="24"/>
  <c r="CU11" i="24"/>
  <c r="DD22" i="24"/>
  <c r="CZ18" i="24"/>
  <c r="CZ19" i="24"/>
  <c r="CR28" i="24"/>
  <c r="CM24" i="24"/>
  <c r="DC18" i="24"/>
  <c r="DB23" i="24"/>
  <c r="CY23" i="24"/>
  <c r="DC27" i="24"/>
  <c r="CY26" i="24"/>
  <c r="CZ25" i="24"/>
  <c r="CP21" i="24"/>
  <c r="CL27" i="24"/>
  <c r="DB24" i="24"/>
  <c r="DE22" i="24"/>
  <c r="DE23" i="24"/>
  <c r="CV21" i="24"/>
  <c r="CS25" i="24"/>
  <c r="CV25" i="24"/>
  <c r="CR25" i="24"/>
  <c r="CR21" i="24"/>
  <c r="CX20" i="24"/>
  <c r="DD28" i="24"/>
  <c r="CS28" i="24"/>
  <c r="CW23" i="24"/>
  <c r="CO23" i="24"/>
  <c r="CR23" i="24"/>
  <c r="CO27" i="24"/>
  <c r="DB28" i="24"/>
  <c r="CL28" i="24"/>
  <c r="DE18" i="24"/>
  <c r="CP18" i="24"/>
  <c r="CQ23" i="24"/>
  <c r="CX23" i="24"/>
  <c r="CL23" i="24"/>
  <c r="CM27" i="24"/>
  <c r="CT27" i="24"/>
  <c r="CX22" i="24"/>
  <c r="CP22" i="24"/>
  <c r="CT21" i="24"/>
  <c r="CL19" i="24"/>
  <c r="CQ26" i="24"/>
  <c r="CO22" i="24"/>
  <c r="DA25" i="24"/>
  <c r="CN25" i="24"/>
  <c r="CZ26" i="24"/>
  <c r="CP19" i="24"/>
  <c r="CN20" i="24"/>
  <c r="CR24" i="24"/>
  <c r="CS21" i="24"/>
  <c r="CW24" i="24"/>
  <c r="CV28" i="24"/>
  <c r="CO18" i="24"/>
  <c r="CQ22" i="24"/>
  <c r="DB26" i="24"/>
  <c r="CT26" i="24"/>
  <c r="CL26" i="24"/>
  <c r="CS18" i="24"/>
  <c r="CM26" i="24"/>
  <c r="CL21" i="24"/>
  <c r="CL24" i="24"/>
  <c r="CQ19" i="24"/>
  <c r="CR20" i="24"/>
  <c r="CV24" i="24"/>
  <c r="CO24" i="24"/>
  <c r="CW28" i="24"/>
  <c r="CW27" i="24"/>
  <c r="CZ12" i="24"/>
  <c r="CL22" i="24"/>
  <c r="CQ25" i="24"/>
  <c r="DB20" i="24"/>
  <c r="DE26" i="24"/>
  <c r="DC24" i="24"/>
  <c r="DE27" i="24"/>
  <c r="CM23" i="24"/>
  <c r="CT19" i="24"/>
  <c r="CR27" i="24"/>
  <c r="CW22" i="24"/>
  <c r="CO26" i="24"/>
  <c r="CQ20" i="24"/>
  <c r="CY28" i="24"/>
  <c r="CL18" i="24"/>
  <c r="CW21" i="24"/>
  <c r="CL20" i="24"/>
  <c r="DB18" i="24"/>
  <c r="CZ27" i="24"/>
  <c r="CM18" i="24"/>
  <c r="CY24" i="24"/>
  <c r="CV22" i="24"/>
  <c r="CS22" i="24"/>
  <c r="CW26" i="24"/>
  <c r="CO21" i="24"/>
  <c r="DE24" i="24"/>
  <c r="CZ20" i="24"/>
  <c r="CM22" i="24"/>
  <c r="CY11" i="24"/>
  <c r="CP14" i="24"/>
  <c r="CW25" i="24"/>
  <c r="DE25" i="24"/>
  <c r="DE20" i="24"/>
  <c r="DC25" i="24"/>
  <c r="CS19" i="24"/>
  <c r="CM25" i="24"/>
  <c r="CY20" i="24"/>
  <c r="CW19" i="24"/>
  <c r="CP20" i="24"/>
  <c r="CX25" i="24"/>
  <c r="DC21" i="24"/>
  <c r="DA11" i="24"/>
  <c r="DD25" i="24"/>
  <c r="DC22" i="24"/>
  <c r="CV18" i="24"/>
  <c r="CS27" i="24"/>
  <c r="CP28" i="24"/>
  <c r="DE19" i="24"/>
  <c r="CQ27" i="24"/>
  <c r="DA23" i="24"/>
  <c r="CX28" i="24"/>
  <c r="CQ28" i="24"/>
  <c r="DB27" i="24"/>
  <c r="CR19" i="24"/>
  <c r="CQ21" i="24"/>
  <c r="CY21" i="24"/>
  <c r="CU17" i="24"/>
  <c r="DC28" i="24"/>
  <c r="DE16" i="24"/>
  <c r="DB10" i="24"/>
  <c r="CX12" i="24"/>
  <c r="CV12" i="24"/>
  <c r="CP12" i="24"/>
  <c r="CV10" i="24"/>
  <c r="DB12" i="24"/>
  <c r="CW12" i="24"/>
  <c r="CZ15" i="24"/>
  <c r="CX10" i="24"/>
  <c r="DC11" i="24"/>
  <c r="CV16" i="24"/>
  <c r="CV15" i="24"/>
  <c r="DD10" i="24"/>
  <c r="CO15" i="24"/>
  <c r="CY12" i="24"/>
  <c r="CY9" i="24"/>
  <c r="CZ14" i="24"/>
  <c r="DD17" i="24"/>
  <c r="CR17" i="24"/>
  <c r="CT10" i="24"/>
  <c r="DD14" i="24"/>
  <c r="DD12" i="24"/>
  <c r="CN10" i="24"/>
  <c r="DB11" i="24"/>
  <c r="CS11" i="24"/>
  <c r="DB17" i="24"/>
  <c r="DE11" i="24"/>
  <c r="CW16" i="24"/>
  <c r="DE17" i="24"/>
  <c r="CW13" i="24"/>
  <c r="DB9" i="24"/>
  <c r="DD15" i="24"/>
  <c r="CW11" i="24"/>
  <c r="CV13" i="24"/>
  <c r="DC14" i="24"/>
  <c r="DC16" i="24"/>
  <c r="CS9" i="24"/>
  <c r="DE10" i="24"/>
  <c r="CQ17" i="24"/>
  <c r="CN16" i="24"/>
  <c r="CM15" i="24"/>
  <c r="CT16" i="24"/>
  <c r="CX13" i="24"/>
  <c r="CP11" i="24"/>
  <c r="CT11" i="24"/>
  <c r="CS12" i="24"/>
  <c r="CX14" i="24"/>
  <c r="DE14" i="24"/>
  <c r="DE9" i="24"/>
  <c r="CO11" i="24"/>
  <c r="CS15" i="24"/>
  <c r="DD13" i="24"/>
  <c r="CV17" i="24"/>
  <c r="CZ9" i="24"/>
  <c r="DD9" i="24"/>
  <c r="DA13" i="24"/>
  <c r="CN9" i="24"/>
  <c r="CM11" i="24"/>
  <c r="DA14" i="24"/>
  <c r="CV9" i="24"/>
  <c r="CZ16" i="24"/>
  <c r="CQ10" i="24"/>
  <c r="DB14" i="24"/>
  <c r="CQ13" i="24"/>
  <c r="CQ16" i="24"/>
  <c r="CO14" i="24"/>
  <c r="CL13" i="24"/>
  <c r="CQ11" i="24"/>
  <c r="CX16" i="24"/>
  <c r="CW15" i="24"/>
  <c r="CQ9" i="24"/>
  <c r="CY17" i="24"/>
  <c r="CL16" i="24"/>
  <c r="CR14" i="24"/>
  <c r="CR10" i="24"/>
  <c r="DC15" i="24"/>
  <c r="DA15" i="24"/>
  <c r="DA10" i="24"/>
  <c r="DE13" i="24"/>
  <c r="CL17" i="24"/>
  <c r="CZ13" i="24"/>
  <c r="CY10" i="24"/>
  <c r="CX9" i="24"/>
  <c r="CS17" i="24"/>
  <c r="CO17" i="24"/>
  <c r="CW17" i="24"/>
  <c r="CY16" i="24"/>
  <c r="DC9" i="24"/>
  <c r="DA12" i="24"/>
  <c r="CM16" i="24"/>
  <c r="DC17" i="24"/>
  <c r="CM14" i="24"/>
  <c r="DB15" i="24"/>
  <c r="CP16" i="24"/>
  <c r="CR9" i="24"/>
  <c r="DA16" i="24"/>
  <c r="CM12" i="24"/>
  <c r="CN17" i="24"/>
  <c r="CR12" i="24"/>
  <c r="CZ17" i="24"/>
  <c r="CP15" i="24"/>
  <c r="CL10" i="24"/>
  <c r="CX15" i="24"/>
  <c r="CQ15" i="24"/>
  <c r="CO9" i="24"/>
  <c r="CS13" i="24"/>
  <c r="CT14" i="24"/>
  <c r="CR13" i="24"/>
  <c r="DB13" i="24"/>
  <c r="CX17" i="24"/>
  <c r="CL11" i="24"/>
  <c r="CY15" i="24"/>
  <c r="CX24" i="24"/>
  <c r="DD21" i="24"/>
  <c r="CZ10" i="24"/>
  <c r="CL12" i="24"/>
  <c r="CR22" i="24"/>
  <c r="CM20" i="24"/>
  <c r="CN22" i="24"/>
  <c r="CS26" i="24"/>
  <c r="CW18" i="24"/>
  <c r="CP26" i="24"/>
  <c r="CM21" i="24"/>
  <c r="DB21" i="24"/>
  <c r="CX19" i="24"/>
  <c r="CN24" i="24"/>
  <c r="DC23" i="24"/>
  <c r="CT23" i="24"/>
  <c r="CP23" i="24"/>
  <c r="DC13" i="24"/>
  <c r="CT18" i="24"/>
  <c r="DD23" i="24"/>
  <c r="DD11" i="24"/>
  <c r="CR16" i="24"/>
  <c r="CL14" i="24"/>
  <c r="DC12" i="24"/>
  <c r="CO13" i="24"/>
  <c r="CQ12" i="24"/>
  <c r="CT15" i="24"/>
  <c r="CO16" i="24"/>
  <c r="CN15" i="24"/>
  <c r="DE15" i="24"/>
  <c r="CV11" i="24"/>
  <c r="CT9" i="24"/>
  <c r="CX18" i="24"/>
  <c r="CN13" i="24"/>
  <c r="CN28" i="24"/>
  <c r="DA26" i="24"/>
  <c r="CQ24" i="24"/>
  <c r="CS20" i="24"/>
  <c r="CQ18" i="24"/>
  <c r="CN19" i="24"/>
  <c r="CZ28" i="24"/>
  <c r="CV27" i="24"/>
  <c r="CR26" i="24"/>
  <c r="CN21" i="24"/>
  <c r="CT22" i="24"/>
  <c r="DE12" i="24"/>
  <c r="DC10" i="24"/>
  <c r="CV26" i="24"/>
  <c r="DA19" i="24"/>
  <c r="DA21" i="24"/>
  <c r="CR18" i="24"/>
  <c r="CW14" i="24"/>
  <c r="DD26" i="24"/>
  <c r="DA18" i="24"/>
  <c r="DA22" i="24"/>
  <c r="DB22" i="24"/>
  <c r="CZ22" i="24"/>
  <c r="CY18" i="24"/>
  <c r="CP25" i="24"/>
  <c r="CN26" i="24"/>
  <c r="DC19" i="24"/>
  <c r="CS14" i="24"/>
  <c r="DB16" i="24"/>
  <c r="CP9" i="24"/>
  <c r="CM13" i="24"/>
  <c r="DA9" i="24"/>
  <c r="CM17" i="24"/>
  <c r="CT12" i="24"/>
  <c r="CW9" i="24"/>
  <c r="CO10" i="24"/>
  <c r="CS10" i="24"/>
  <c r="CP17" i="24"/>
  <c r="CX11" i="24"/>
  <c r="CV14" i="24"/>
  <c r="DA17" i="24"/>
  <c r="CN12" i="24"/>
  <c r="CM9" i="24"/>
  <c r="CR11" i="24"/>
  <c r="CO19" i="24"/>
  <c r="CY27" i="24"/>
  <c r="CZ24" i="24"/>
  <c r="DC20" i="24"/>
  <c r="DE21" i="24"/>
  <c r="CM19" i="24"/>
  <c r="CO25" i="24"/>
  <c r="CT20" i="24"/>
  <c r="DA28" i="24"/>
  <c r="DD18" i="24"/>
  <c r="DD16" i="24"/>
  <c r="CP10" i="24"/>
  <c r="CZ11" i="24"/>
  <c r="CW10" i="24"/>
  <c r="CY13" i="24"/>
  <c r="AL5" i="24" l="1" a="1"/>
  <c r="AL5" i="24" s="1"/>
  <c r="AL3" i="24" a="1"/>
  <c r="AL3" i="24" s="1"/>
  <c r="AL4" i="24" a="1"/>
  <c r="AL4" i="24" s="1"/>
  <c r="AL6" i="24" l="1"/>
  <c r="W38" i="21" l="1"/>
  <c r="W40" i="21"/>
  <c r="S38" i="21"/>
  <c r="S40" i="21"/>
  <c r="O38" i="21"/>
  <c r="O40" i="21"/>
  <c r="K40" i="21" a="1"/>
  <c r="K40" i="21" s="1"/>
  <c r="K38" i="21"/>
  <c r="AA40" i="21"/>
  <c r="AA38" i="21"/>
  <c r="G38" i="21"/>
  <c r="G40" i="21" a="1"/>
  <c r="G40" i="21" s="1"/>
  <c r="C38" i="21"/>
  <c r="C40" i="21"/>
  <c r="AA37" i="21"/>
  <c r="AA39" i="21"/>
  <c r="O37" i="21"/>
  <c r="O39" i="21"/>
  <c r="K37" i="21"/>
  <c r="K39" i="21"/>
  <c r="W37" i="21"/>
  <c r="W39" i="21"/>
  <c r="S37" i="21"/>
  <c r="S39" i="21"/>
  <c r="G37" i="21"/>
  <c r="G39" i="21"/>
  <c r="C37" i="21"/>
  <c r="C39" i="21"/>
  <c r="W42" i="21" l="1"/>
  <c r="V54" i="21" s="1"/>
  <c r="V55" i="21" s="1"/>
  <c r="G42" i="21"/>
  <c r="S42" i="21"/>
  <c r="O42" i="21"/>
  <c r="K42" i="21"/>
  <c r="AA42" i="21"/>
  <c r="C42" i="21"/>
  <c r="AA41" i="21"/>
  <c r="W41" i="21"/>
  <c r="W54" i="21" s="1"/>
  <c r="W55" i="21" s="1"/>
  <c r="S41" i="21"/>
  <c r="O41" i="21"/>
  <c r="K41" i="21"/>
  <c r="G41" i="21"/>
  <c r="C41" i="21"/>
  <c r="AA44" i="21" l="1"/>
  <c r="G44" i="21"/>
  <c r="S43" i="21"/>
  <c r="O44" i="21"/>
  <c r="O43" i="21"/>
  <c r="AA45" i="21"/>
  <c r="W45" i="21"/>
  <c r="O45" i="21"/>
  <c r="W44" i="21"/>
  <c r="W43" i="21"/>
  <c r="C45" i="21"/>
  <c r="K44" i="21"/>
  <c r="AA43" i="21"/>
  <c r="S44" i="21"/>
  <c r="S45" i="21"/>
  <c r="C43" i="21"/>
  <c r="G45" i="21"/>
  <c r="AN3" i="24"/>
  <c r="G43" i="21"/>
  <c r="AN4" i="24"/>
  <c r="K45" i="21"/>
  <c r="C44" i="21"/>
  <c r="K43" i="21"/>
  <c r="AN5" i="24" l="1"/>
  <c r="AP9" i="24" s="1"/>
  <c r="AQ9" i="24" s="1"/>
  <c r="AN6" i="24" l="1"/>
  <c r="AP10" i="24" s="1"/>
  <c r="AQ10" i="24" s="1"/>
  <c r="AP11" i="24" l="1"/>
  <c r="AP12" i="24" s="1"/>
  <c r="AQ11" i="24" l="1"/>
  <c r="AQ12" i="24"/>
  <c r="AP13" i="24"/>
  <c r="AP14" i="24" l="1"/>
  <c r="AQ13" i="24"/>
  <c r="AP15" i="24" l="1"/>
  <c r="AQ14" i="24"/>
  <c r="AQ15" i="24" l="1"/>
  <c r="AP16" i="24"/>
  <c r="AP17" i="24" l="1"/>
  <c r="AQ16" i="24"/>
  <c r="AP18" i="24" l="1"/>
  <c r="AQ17" i="24"/>
  <c r="AP19" i="24" l="1"/>
  <c r="AQ18" i="24"/>
  <c r="AP20" i="24" l="1"/>
  <c r="AQ19" i="24"/>
  <c r="AP21" i="24" l="1"/>
  <c r="AQ20" i="24"/>
  <c r="AP22" i="24" l="1"/>
  <c r="AQ21" i="24"/>
  <c r="AP23" i="24" l="1"/>
  <c r="AQ22" i="24"/>
  <c r="AQ23" i="24" l="1"/>
  <c r="AP24" i="24"/>
  <c r="AP25" i="24" l="1"/>
  <c r="AQ24" i="24"/>
  <c r="AP26" i="24" l="1"/>
  <c r="AQ25" i="24"/>
  <c r="AQ26" i="24" l="1"/>
  <c r="AP27" i="24"/>
  <c r="AP28" i="24" l="1"/>
  <c r="AQ28" i="24" s="1"/>
  <c r="AQ27" i="24"/>
</calcChain>
</file>

<file path=xl/sharedStrings.xml><?xml version="1.0" encoding="utf-8"?>
<sst xmlns="http://schemas.openxmlformats.org/spreadsheetml/2006/main" count="207" uniqueCount="116">
  <si>
    <t>Ravi Shukla</t>
  </si>
  <si>
    <t>Std Dev</t>
  </si>
  <si>
    <t>Correlation</t>
  </si>
  <si>
    <t>Exp Ret</t>
  </si>
  <si>
    <t>Weights</t>
  </si>
  <si>
    <t>Min</t>
  </si>
  <si>
    <t>Max</t>
  </si>
  <si>
    <t>Stock</t>
  </si>
  <si>
    <t>Weight Limits</t>
  </si>
  <si>
    <t>Covar</t>
  </si>
  <si>
    <r>
      <t>Caution</t>
    </r>
    <r>
      <rPr>
        <sz val="11"/>
        <color indexed="10"/>
        <rFont val="Calibri"/>
        <family val="2"/>
        <scheme val="minor"/>
      </rPr>
      <t xml:space="preserve">: No warranties. Use at your own risk. </t>
    </r>
  </si>
  <si>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  <scheme val="minor"/>
      </rPr>
      <t>j</t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</si>
  <si>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>f</t>
    </r>
  </si>
  <si>
    <t>Please enter data only in cells shaded as:</t>
  </si>
  <si>
    <t>This worksheet is not protected and may be rendered useless if not used properly.</t>
  </si>
  <si>
    <t>A</t>
  </si>
  <si>
    <t>where you got this one.</t>
  </si>
  <si>
    <t>The following models are programmed into this spreadsheet:</t>
  </si>
  <si>
    <t>Maximize expected utility given risk aversion parameter. Utility function is</t>
  </si>
  <si>
    <r>
      <t>assumed to be E(U) = E(r) - 0.5A</t>
    </r>
    <r>
      <rPr>
        <sz val="11"/>
        <rFont val="Symbol"/>
        <family val="1"/>
        <charset val="2"/>
      </rPr>
      <t>s</t>
    </r>
    <r>
      <rPr>
        <vertAlign val="super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.</t>
    </r>
  </si>
  <si>
    <t>the expected portfolio return must be within a range.</t>
  </si>
  <si>
    <t>Maximize expected portfolio return subject to the requirement that the standard</t>
  </si>
  <si>
    <t>deviation of returns must be within a range.</t>
  </si>
  <si>
    <t>For reasons I don't understand (I hope Microsoft engineers do), if I protect the model</t>
  </si>
  <si>
    <t>worksheet, the models give nonsensical results. So, the model workbook is unprotected and</t>
  </si>
  <si>
    <t>fragile. So, use it carefully. If you destroy the worksheet, download the original version</t>
  </si>
  <si>
    <t>B</t>
  </si>
  <si>
    <t>C</t>
  </si>
  <si>
    <t>D</t>
  </si>
  <si>
    <t>Frontier</t>
  </si>
  <si>
    <t>E(r)</t>
  </si>
  <si>
    <t>s</t>
  </si>
  <si>
    <t xml:space="preserve">* </t>
  </si>
  <si>
    <t xml:space="preserve">Maximize the slope of the capital allocation line (CAL) </t>
  </si>
  <si>
    <t>Do not edit this area unless you know what you are doing.</t>
  </si>
  <si>
    <t>Ell</t>
  </si>
  <si>
    <t>N Stocks</t>
  </si>
  <si>
    <t>Min Wt</t>
  </si>
  <si>
    <t>Max Wt</t>
  </si>
  <si>
    <t>Unconstrained Global Minimum variance portfolio.</t>
  </si>
  <si>
    <t>*</t>
  </si>
  <si>
    <t>Constrained Global Minimum variance portfolio.</t>
  </si>
  <si>
    <t>The unconstrained mean-variance frontier and the various optimal portfolios are shown in</t>
  </si>
  <si>
    <t>the chart on sheet named "Frontier." Reviewing this sheet will also be helpful in</t>
  </si>
  <si>
    <t>understanding the statistical properties of the portfolios.</t>
  </si>
  <si>
    <t>If the models fail to find a solution or give nonsensical answers, check your inputs and</t>
  </si>
  <si>
    <t>constraints. The best strategy would be start with a very wide range for the constraints and</t>
  </si>
  <si>
    <t>narrow them gradually as you understand the statistical properties of the</t>
  </si>
  <si>
    <t>The model is designed to work with 3-20 stocks in the portfolio. You can change the number</t>
  </si>
  <si>
    <t>of stocks in the portfolio by entering the number in cell B2 in sheet Data. The data entry will</t>
  </si>
  <si>
    <t>shrink or expand based on your input. Due to a glitch in Excel, if you increase the number of</t>
  </si>
  <si>
    <t>stocks in the Data sheet, the numbers for some securities (expected returns, standard</t>
  </si>
  <si>
    <t>deviations, correlations, etc.) may not be visible. Just redraw the sheet by pressing page</t>
  </si>
  <si>
    <t xml:space="preserve">down and the page up, </t>
  </si>
  <si>
    <t>If the frontier chart looks strange it's because the optimizer hasn't been run after the inputs</t>
  </si>
  <si>
    <t>were changed. Run the optimizer by clicking on the button on the Model sheet, and you</t>
  </si>
  <si>
    <t>should get a reasonable looking chart.</t>
  </si>
  <si>
    <t>optimal portfolios may be within the unconstrained frontier and the constrained tangency</t>
  </si>
  <si>
    <t>line may pierce the unconstrained frontier.</t>
  </si>
  <si>
    <t>Sharpe Optimal Portfolio Selection</t>
  </si>
  <si>
    <r>
      <t>E(r</t>
    </r>
    <r>
      <rPr>
        <b/>
        <vertAlign val="subscript"/>
        <sz val="11"/>
        <color theme="1"/>
        <rFont val="Calibri"/>
        <family val="2"/>
        <scheme val="minor"/>
      </rPr>
      <t>M</t>
    </r>
    <r>
      <rPr>
        <b/>
        <sz val="11"/>
        <color theme="1"/>
        <rFont val="Calibri"/>
        <family val="2"/>
        <scheme val="minor"/>
      </rPr>
      <t>)</t>
    </r>
  </si>
  <si>
    <r>
      <rPr>
        <b/>
        <sz val="11"/>
        <color theme="1"/>
        <rFont val="Symbol"/>
        <family val="1"/>
        <charset val="2"/>
      </rPr>
      <t>s</t>
    </r>
    <r>
      <rPr>
        <b/>
        <vertAlign val="subscript"/>
        <sz val="11"/>
        <color theme="1"/>
        <rFont val="Calibri"/>
        <family val="2"/>
        <scheme val="minor"/>
      </rPr>
      <t>M</t>
    </r>
  </si>
  <si>
    <t>a</t>
  </si>
  <si>
    <t>b</t>
  </si>
  <si>
    <r>
      <t>s</t>
    </r>
    <r>
      <rPr>
        <b/>
        <sz val="11"/>
        <color theme="1"/>
        <rFont val="Symbol"/>
        <family val="1"/>
        <charset val="2"/>
      </rPr>
      <t>(</t>
    </r>
    <r>
      <rPr>
        <b/>
        <i/>
        <sz val="11"/>
        <color theme="1"/>
        <rFont val="Calibri"/>
        <family val="2"/>
      </rPr>
      <t>e</t>
    </r>
    <r>
      <rPr>
        <b/>
        <sz val="11"/>
        <color theme="1"/>
        <rFont val="Calibri"/>
        <family val="2"/>
      </rPr>
      <t>)</t>
    </r>
  </si>
  <si>
    <r>
      <rPr>
        <sz val="11"/>
        <color theme="1"/>
        <rFont val="Symbol"/>
        <family val="1"/>
        <charset val="2"/>
      </rPr>
      <t>a</t>
    </r>
    <r>
      <rPr>
        <vertAlign val="subscript"/>
        <sz val="11"/>
        <color theme="1"/>
        <rFont val="Calibri"/>
        <family val="2"/>
        <scheme val="minor"/>
      </rPr>
      <t>p</t>
    </r>
  </si>
  <si>
    <r>
      <rPr>
        <sz val="11"/>
        <color theme="1"/>
        <rFont val="Symbol"/>
        <family val="1"/>
        <charset val="2"/>
      </rPr>
      <t>b</t>
    </r>
    <r>
      <rPr>
        <vertAlign val="subscript"/>
        <sz val="11"/>
        <color theme="1"/>
        <rFont val="Calibri"/>
        <family val="2"/>
        <scheme val="minor"/>
      </rPr>
      <t>p</t>
    </r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</si>
  <si>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>(</t>
    </r>
    <r>
      <rPr>
        <i/>
        <sz val="11"/>
        <color theme="1"/>
        <rFont val="Calibri"/>
        <family val="2"/>
        <scheme val="minor"/>
      </rPr>
      <t>e</t>
    </r>
    <r>
      <rPr>
        <i/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>)</t>
    </r>
  </si>
  <si>
    <r>
      <rPr>
        <i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(</t>
    </r>
    <r>
      <rPr>
        <i/>
        <sz val="11"/>
        <color theme="1"/>
        <rFont val="Calibri"/>
        <family val="2"/>
        <scheme val="minor"/>
      </rPr>
      <t>R</t>
    </r>
    <r>
      <rPr>
        <i/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>)</t>
    </r>
  </si>
  <si>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  <scheme val="minor"/>
      </rPr>
      <t>p</t>
    </r>
  </si>
  <si>
    <t>E(U)</t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</si>
  <si>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</rPr>
      <t>w</t>
    </r>
    <r>
      <rPr>
        <vertAlign val="subscript"/>
        <sz val="11"/>
        <color theme="1"/>
        <rFont val="Calibri"/>
        <family val="2"/>
      </rPr>
      <t>i</t>
    </r>
  </si>
  <si>
    <t>S</t>
  </si>
  <si>
    <t>Prob (r&lt;0)</t>
  </si>
  <si>
    <t>Beta</t>
  </si>
  <si>
    <t>This spreadsheet calculates optimal portfolio weights using various objectives in Sharpe's</t>
  </si>
  <si>
    <t>single index model framework. It utilizes alphas, betas, and unique standard deviations of</t>
  </si>
  <si>
    <t>returns as inputs. Risk-free rate, Expected market return, standard deviation of market</t>
  </si>
  <si>
    <t>return and the risk aversion parameter are also used as inputs in some models. The user can</t>
  </si>
  <si>
    <t>restrict the weights to within a certain range.</t>
  </si>
  <si>
    <t>the portfolio beta must be within a range.</t>
  </si>
  <si>
    <t>Keep in mind that the frontier plotted in the chart is unconstrained frontier. Constrained</t>
  </si>
  <si>
    <t>Minimize standard deviation of portfolio returns subject to the requirement that</t>
  </si>
  <si>
    <t>Ticker</t>
  </si>
  <si>
    <t>Stock#</t>
  </si>
  <si>
    <t>TKR15</t>
  </si>
  <si>
    <t>TKR16</t>
  </si>
  <si>
    <t>TKR17</t>
  </si>
  <si>
    <t>TKR18</t>
  </si>
  <si>
    <t>TKR19</t>
  </si>
  <si>
    <t>TKR20</t>
  </si>
  <si>
    <t>Case 0: Unconstrained Global Minimum Variance</t>
  </si>
  <si>
    <t>Case 0A: Constrained Global Minimum Variance</t>
  </si>
  <si>
    <t>Case 1: Maximize Utility</t>
  </si>
  <si>
    <t>Case 2: Minimize Standard Deviation</t>
  </si>
  <si>
    <t>Case 3: Maximize Expected Return</t>
  </si>
  <si>
    <t>Case 4: Maximize Slope of the CAL</t>
  </si>
  <si>
    <t>Case 5: Minimize Standard Deviation</t>
  </si>
  <si>
    <t>Tangency Line</t>
  </si>
  <si>
    <t>Constrain Weights</t>
  </si>
  <si>
    <t>Yes</t>
  </si>
  <si>
    <t>Last modified: 3/10/2015, 9:15 AM</t>
  </si>
  <si>
    <t>MPW</t>
  </si>
  <si>
    <t>CLF</t>
  </si>
  <si>
    <t>RUN</t>
  </si>
  <si>
    <t>KGC</t>
  </si>
  <si>
    <t>VFC</t>
  </si>
  <si>
    <t>GPS</t>
  </si>
  <si>
    <t>VIAV</t>
  </si>
  <si>
    <t>IQ</t>
  </si>
  <si>
    <t>AGI</t>
  </si>
  <si>
    <t>PLNT</t>
  </si>
  <si>
    <t>JWN</t>
  </si>
  <si>
    <t>DEI</t>
  </si>
  <si>
    <t>MODG</t>
  </si>
  <si>
    <t>MAT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</si>
</sst>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"/>
    <numFmt numFmtId="166" formatCode="##.\ 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indexed="10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color theme="1"/>
      <name val="Symbol"/>
      <family val="1"/>
      <charset val="2"/>
    </font>
    <font>
      <b/>
      <vertAlign val="subscript"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0"/>
      <name val="Arial"/>
      <family val="2"/>
    </font>
    <font>
      <vertAlign val="superscript"/>
      <sz val="11"/>
      <name val="Calibri"/>
      <family val="2"/>
      <scheme val="minor"/>
    </font>
    <font>
      <sz val="11"/>
      <name val="Symbol"/>
      <family val="1"/>
      <charset val="2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name val="Symbol"/>
      <family val="1"/>
      <charset val="2"/>
    </font>
    <font>
      <sz val="10"/>
      <name val="Arial"/>
      <family val="2"/>
    </font>
    <font>
      <b/>
      <sz val="11"/>
      <color theme="1"/>
      <name val="Symbol"/>
      <family val="1"/>
      <charset val="2"/>
    </font>
    <font>
      <b/>
      <i/>
      <sz val="11"/>
      <color theme="1"/>
      <name val="Symbol"/>
      <family val="1"/>
      <charset val="2"/>
    </font>
    <font>
      <b/>
      <i/>
      <sz val="11"/>
      <color theme="1"/>
      <name val="Calibri"/>
      <family val="2"/>
    </font>
    <font>
      <b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sz val="10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5" fillId="2" borderId="2" applyNumberFormat="0" applyAlignment="0" applyProtection="0"/>
    <xf numFmtId="0" fontId="14" fillId="0" borderId="0"/>
    <xf numFmtId="9" fontId="14" fillId="0" borderId="0" applyFont="0" applyFill="0" applyBorder="0" applyAlignment="0" applyProtection="0"/>
    <xf numFmtId="9" fontId="27" fillId="0" borderId="0" applyFont="0" applyFill="0" applyBorder="0" applyAlignment="0" applyProtection="0"/>
    <xf numFmtId="0" fontId="33" fillId="5" borderId="8" applyNumberFormat="0" applyFont="0" applyAlignment="0" applyProtection="0"/>
  </cellStyleXfs>
  <cellXfs count="89">
    <xf numFmtId="0" fontId="0" fillId="0" borderId="0" xfId="0"/>
    <xf numFmtId="0" fontId="19" fillId="0" borderId="0" xfId="0" applyFont="1"/>
    <xf numFmtId="0" fontId="13" fillId="0" borderId="0" xfId="2" applyFont="1"/>
    <xf numFmtId="10" fontId="19" fillId="0" borderId="1" xfId="3" applyNumberFormat="1" applyFont="1" applyBorder="1" applyProtection="1">
      <protection locked="0"/>
    </xf>
    <xf numFmtId="0" fontId="16" fillId="0" borderId="1" xfId="2" applyFont="1" applyBorder="1"/>
    <xf numFmtId="0" fontId="16" fillId="3" borderId="1" xfId="2" applyFont="1" applyFill="1" applyBorder="1" applyAlignment="1">
      <alignment horizontal="right"/>
    </xf>
    <xf numFmtId="0" fontId="13" fillId="0" borderId="1" xfId="2" applyFont="1" applyBorder="1" applyAlignment="1">
      <alignment horizontal="center"/>
    </xf>
    <xf numFmtId="164" fontId="13" fillId="0" borderId="1" xfId="2" applyNumberFormat="1" applyFont="1" applyBorder="1"/>
    <xf numFmtId="10" fontId="19" fillId="0" borderId="1" xfId="3" applyNumberFormat="1" applyFont="1" applyBorder="1" applyProtection="1"/>
    <xf numFmtId="10" fontId="13" fillId="0" borderId="1" xfId="2" applyNumberFormat="1" applyFont="1" applyBorder="1"/>
    <xf numFmtId="0" fontId="25" fillId="0" borderId="0" xfId="2" applyFont="1"/>
    <xf numFmtId="0" fontId="11" fillId="0" borderId="0" xfId="2" applyFont="1"/>
    <xf numFmtId="0" fontId="26" fillId="0" borderId="0" xfId="0" applyFont="1" applyAlignment="1">
      <alignment horizontal="center" vertical="center" wrapText="1"/>
    </xf>
    <xf numFmtId="0" fontId="15" fillId="2" borderId="1" xfId="1" applyBorder="1"/>
    <xf numFmtId="0" fontId="11" fillId="0" borderId="1" xfId="2" applyFont="1" applyBorder="1" applyAlignment="1">
      <alignment horizontal="right"/>
    </xf>
    <xf numFmtId="10" fontId="13" fillId="0" borderId="1" xfId="4" applyNumberFormat="1" applyFont="1" applyBorder="1" applyProtection="1"/>
    <xf numFmtId="166" fontId="19" fillId="0" borderId="0" xfId="0" applyNumberFormat="1" applyFont="1"/>
    <xf numFmtId="0" fontId="0" fillId="0" borderId="0" xfId="0" applyAlignment="1">
      <alignment horizontal="center"/>
    </xf>
    <xf numFmtId="0" fontId="24" fillId="4" borderId="6" xfId="2" applyFont="1" applyFill="1" applyBorder="1"/>
    <xf numFmtId="0" fontId="24" fillId="4" borderId="0" xfId="2" applyFont="1" applyFill="1"/>
    <xf numFmtId="10" fontId="25" fillId="0" borderId="1" xfId="4" applyNumberFormat="1" applyFont="1" applyBorder="1" applyAlignment="1"/>
    <xf numFmtId="0" fontId="13" fillId="5" borderId="0" xfId="5" applyFont="1" applyBorder="1" applyProtection="1"/>
    <xf numFmtId="0" fontId="10" fillId="5" borderId="1" xfId="5" applyFont="1" applyBorder="1" applyProtection="1"/>
    <xf numFmtId="0" fontId="18" fillId="5" borderId="1" xfId="5" applyFont="1" applyBorder="1" applyAlignment="1" applyProtection="1">
      <alignment horizontal="right"/>
    </xf>
    <xf numFmtId="0" fontId="32" fillId="5" borderId="1" xfId="5" applyFont="1" applyBorder="1" applyAlignment="1" applyProtection="1">
      <alignment horizontal="right"/>
    </xf>
    <xf numFmtId="9" fontId="19" fillId="5" borderId="1" xfId="5" applyNumberFormat="1" applyFont="1" applyBorder="1"/>
    <xf numFmtId="0" fontId="13" fillId="5" borderId="9" xfId="5" applyFont="1" applyBorder="1" applyProtection="1"/>
    <xf numFmtId="0" fontId="13" fillId="5" borderId="6" xfId="5" applyFont="1" applyBorder="1" applyProtection="1"/>
    <xf numFmtId="0" fontId="13" fillId="5" borderId="7" xfId="5" applyFont="1" applyBorder="1" applyProtection="1"/>
    <xf numFmtId="0" fontId="13" fillId="5" borderId="10" xfId="5" applyFont="1" applyBorder="1" applyProtection="1"/>
    <xf numFmtId="0" fontId="16" fillId="0" borderId="11" xfId="2" applyFont="1" applyBorder="1"/>
    <xf numFmtId="0" fontId="19" fillId="0" borderId="0" xfId="0" applyFont="1" applyAlignment="1">
      <alignment horizontal="right"/>
    </xf>
    <xf numFmtId="166" fontId="19" fillId="0" borderId="0" xfId="0" applyNumberFormat="1" applyFont="1" applyAlignment="1">
      <alignment horizontal="right"/>
    </xf>
    <xf numFmtId="0" fontId="13" fillId="5" borderId="1" xfId="5" applyFont="1" applyBorder="1" applyAlignment="1" applyProtection="1">
      <alignment horizontal="center"/>
    </xf>
    <xf numFmtId="10" fontId="9" fillId="5" borderId="1" xfId="5" applyNumberFormat="1" applyFont="1" applyBorder="1" applyProtection="1"/>
    <xf numFmtId="10" fontId="13" fillId="5" borderId="1" xfId="5" applyNumberFormat="1" applyFont="1" applyBorder="1" applyProtection="1"/>
    <xf numFmtId="164" fontId="13" fillId="5" borderId="1" xfId="5" applyNumberFormat="1" applyFont="1" applyBorder="1" applyProtection="1"/>
    <xf numFmtId="164" fontId="19" fillId="5" borderId="1" xfId="5" applyNumberFormat="1" applyFont="1" applyBorder="1"/>
    <xf numFmtId="0" fontId="9" fillId="5" borderId="6" xfId="5" applyFont="1" applyBorder="1" applyProtection="1"/>
    <xf numFmtId="0" fontId="16" fillId="3" borderId="1" xfId="2" applyFont="1" applyFill="1" applyBorder="1" applyAlignment="1">
      <alignment horizontal="center"/>
    </xf>
    <xf numFmtId="0" fontId="16" fillId="5" borderId="1" xfId="5" applyFont="1" applyBorder="1" applyAlignment="1" applyProtection="1">
      <alignment horizontal="center"/>
    </xf>
    <xf numFmtId="2" fontId="13" fillId="0" borderId="0" xfId="2" applyNumberFormat="1" applyFont="1"/>
    <xf numFmtId="0" fontId="8" fillId="0" borderId="0" xfId="2" applyFont="1"/>
    <xf numFmtId="10" fontId="15" fillId="2" borderId="1" xfId="1" applyNumberFormat="1" applyBorder="1" applyProtection="1">
      <protection locked="0"/>
    </xf>
    <xf numFmtId="0" fontId="35" fillId="3" borderId="1" xfId="2" applyFont="1" applyFill="1" applyBorder="1" applyAlignment="1">
      <alignment horizontal="right"/>
    </xf>
    <xf numFmtId="10" fontId="19" fillId="7" borderId="1" xfId="1" applyNumberFormat="1" applyFont="1" applyFill="1" applyBorder="1" applyProtection="1"/>
    <xf numFmtId="165" fontId="7" fillId="0" borderId="1" xfId="2" applyNumberFormat="1" applyFont="1" applyBorder="1"/>
    <xf numFmtId="0" fontId="7" fillId="0" borderId="0" xfId="2" applyFont="1"/>
    <xf numFmtId="0" fontId="7" fillId="0" borderId="3" xfId="2" applyFont="1" applyBorder="1"/>
    <xf numFmtId="0" fontId="7" fillId="0" borderId="5" xfId="2" applyFont="1" applyBorder="1"/>
    <xf numFmtId="10" fontId="7" fillId="0" borderId="1" xfId="2" applyNumberFormat="1" applyFont="1" applyBorder="1"/>
    <xf numFmtId="2" fontId="7" fillId="0" borderId="1" xfId="2" applyNumberFormat="1" applyFont="1" applyBorder="1"/>
    <xf numFmtId="0" fontId="7" fillId="0" borderId="1" xfId="2" applyFont="1" applyBorder="1" applyAlignment="1">
      <alignment horizontal="right"/>
    </xf>
    <xf numFmtId="0" fontId="7" fillId="0" borderId="1" xfId="2" applyFont="1" applyBorder="1" applyAlignment="1">
      <alignment horizontal="center"/>
    </xf>
    <xf numFmtId="10" fontId="19" fillId="2" borderId="1" xfId="1" applyNumberFormat="1" applyFont="1" applyBorder="1" applyProtection="1">
      <protection locked="0"/>
    </xf>
    <xf numFmtId="0" fontId="6" fillId="0" borderId="0" xfId="2" applyFont="1"/>
    <xf numFmtId="0" fontId="19" fillId="2" borderId="1" xfId="1" applyFont="1" applyBorder="1" applyProtection="1">
      <protection locked="0"/>
    </xf>
    <xf numFmtId="2" fontId="15" fillId="2" borderId="1" xfId="1" applyNumberFormat="1" applyBorder="1" applyAlignment="1" applyProtection="1">
      <protection locked="0"/>
    </xf>
    <xf numFmtId="2" fontId="15" fillId="2" borderId="1" xfId="1" applyNumberFormat="1" applyBorder="1" applyProtection="1">
      <protection locked="0"/>
    </xf>
    <xf numFmtId="2" fontId="5" fillId="2" borderId="1" xfId="1" applyNumberFormat="1" applyFont="1" applyBorder="1" applyProtection="1">
      <protection locked="0"/>
    </xf>
    <xf numFmtId="10" fontId="5" fillId="2" borderId="1" xfId="1" applyNumberFormat="1" applyFont="1" applyBorder="1" applyProtection="1">
      <protection locked="0"/>
    </xf>
    <xf numFmtId="0" fontId="5" fillId="2" borderId="2" xfId="1" applyFont="1" applyAlignment="1" applyProtection="1">
      <alignment horizontal="center"/>
    </xf>
    <xf numFmtId="0" fontId="2" fillId="0" borderId="0" xfId="2" applyFont="1"/>
    <xf numFmtId="0" fontId="31" fillId="0" borderId="0" xfId="0" applyFont="1" applyAlignment="1">
      <alignment horizontal="center"/>
    </xf>
    <xf numFmtId="0" fontId="30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18" fillId="5" borderId="1" xfId="5" applyFont="1" applyBorder="1" applyAlignment="1" applyProtection="1">
      <alignment horizontal="center"/>
    </xf>
    <xf numFmtId="0" fontId="26" fillId="0" borderId="0" xfId="0" applyFont="1" applyAlignment="1">
      <alignment horizontal="center" vertical="center" wrapText="1"/>
    </xf>
    <xf numFmtId="165" fontId="12" fillId="0" borderId="3" xfId="2" applyNumberFormat="1" applyFont="1" applyBorder="1"/>
    <xf numFmtId="165" fontId="12" fillId="0" borderId="4" xfId="2" applyNumberFormat="1" applyFont="1" applyBorder="1"/>
    <xf numFmtId="165" fontId="12" fillId="0" borderId="5" xfId="2" applyNumberFormat="1" applyFont="1" applyBorder="1"/>
    <xf numFmtId="0" fontId="16" fillId="3" borderId="1" xfId="2" applyFont="1" applyFill="1" applyBorder="1" applyAlignment="1">
      <alignment horizontal="center"/>
    </xf>
    <xf numFmtId="0" fontId="9" fillId="6" borderId="3" xfId="5" applyFont="1" applyFill="1" applyBorder="1" applyAlignment="1" applyProtection="1">
      <alignment horizontal="center"/>
    </xf>
    <xf numFmtId="0" fontId="9" fillId="6" borderId="4" xfId="5" applyFont="1" applyFill="1" applyBorder="1" applyAlignment="1" applyProtection="1">
      <alignment horizontal="center"/>
    </xf>
    <xf numFmtId="0" fontId="9" fillId="6" borderId="5" xfId="5" applyFont="1" applyFill="1" applyBorder="1" applyAlignment="1" applyProtection="1">
      <alignment horizontal="center"/>
    </xf>
    <xf numFmtId="0" fontId="24" fillId="4" borderId="6" xfId="2" applyFont="1" applyFill="1" applyBorder="1"/>
    <xf numFmtId="0" fontId="24" fillId="4" borderId="0" xfId="2" applyFont="1" applyFill="1"/>
    <xf numFmtId="0" fontId="15" fillId="2" borderId="2" xfId="1" applyAlignment="1" applyProtection="1">
      <alignment horizontal="center"/>
    </xf>
    <xf numFmtId="0" fontId="7" fillId="0" borderId="1" xfId="2" applyFont="1" applyBorder="1"/>
    <xf numFmtId="0" fontId="13" fillId="0" borderId="1" xfId="2" applyFont="1" applyBorder="1"/>
    <xf numFmtId="0" fontId="40" fillId="0" borderId="1" xfId="2" applyFont="1" applyBorder="1"/>
    <xf numFmtId="0" fontId="7" fillId="0" borderId="3" xfId="2" applyFont="1" applyBorder="1"/>
    <xf numFmtId="0" fontId="7" fillId="0" borderId="5" xfId="2" applyFont="1" applyBorder="1"/>
    <xf numFmtId="0" fontId="16" fillId="3" borderId="1" xfId="2" applyFont="1" applyFill="1" applyBorder="1" applyAlignment="1">
      <alignment horizontal="center" wrapText="1"/>
    </xf>
    <xf numFmtId="0" fontId="16" fillId="3" borderId="3" xfId="2" applyFont="1" applyFill="1" applyBorder="1" applyAlignment="1">
      <alignment horizontal="center" wrapText="1"/>
    </xf>
    <xf numFmtId="0" fontId="16" fillId="3" borderId="5" xfId="2" applyFont="1" applyFill="1" applyBorder="1" applyAlignment="1">
      <alignment horizontal="center" wrapText="1"/>
    </xf>
    <xf numFmtId="0" fontId="16" fillId="3" borderId="1" xfId="2" applyFont="1" applyFill="1" applyBorder="1" applyAlignment="1">
      <alignment horizontal="center" vertical="center" wrapText="1"/>
    </xf>
    <xf numFmtId="0" fontId="4" fillId="0" borderId="1" xfId="2" applyFont="1" applyBorder="1" applyAlignment="1">
      <alignment horizontal="center"/>
    </xf>
  </cellXfs>
  <cellStyles count="6">
    <cellStyle name="Input" xfId="1" builtinId="20"/>
    <cellStyle name="Normal" xfId="0" builtinId="0"/>
    <cellStyle name="Normal 2" xfId="2" xr:uid="{00000000-0005-0000-0000-000002000000}"/>
    <cellStyle name="Note" xfId="5" builtinId="10"/>
    <cellStyle name="Percent" xfId="4" builtinId="5"/>
    <cellStyle name="Percent 2" xfId="3" xr:uid="{00000000-0005-0000-0000-000005000000}"/>
  </cellStyles>
  <dxfs count="33"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</dxf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</dxf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</dxf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</dxf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</dxf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</dxf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</dxf>
    <dxf>
      <numFmt numFmtId="167" formatCode=";;"/>
    </dxf>
    <dxf>
      <numFmt numFmtId="167" formatCode=";;"/>
    </dxf>
    <dxf>
      <font>
        <b/>
        <i val="0"/>
        <color rgb="FF002060"/>
      </font>
      <fill>
        <patternFill>
          <bgColor rgb="FFFF0000"/>
        </patternFill>
      </fill>
    </dxf>
    <dxf>
      <numFmt numFmtId="168" formatCode=";;;"/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numFmt numFmtId="167" formatCode=";;"/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2060"/>
      </font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Efficient Frontier and Optimal Portfolios</a:t>
            </a:r>
          </a:p>
          <a:p>
            <a:pPr>
              <a:defRPr/>
            </a:pPr>
            <a:r>
              <a:rPr lang="en-US" sz="1400"/>
              <a:t>Sharpe Model</a:t>
            </a:r>
            <a:endParaRPr lang="en-US"/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Unconstrained Frontier</c:v>
          </c:tx>
          <c:marker>
            <c:symbol val="none"/>
          </c:marker>
          <c:xVal>
            <c:numRef>
              <c:f>Data!$AQ$9:$AQ$28</c:f>
              <c:numCache>
                <c:formatCode>0%</c:formatCode>
                <c:ptCount val="20"/>
                <c:pt idx="0">
                  <c:v>0.38841101319225529</c:v>
                </c:pt>
                <c:pt idx="1">
                  <c:v>0.36079805600469628</c:v>
                </c:pt>
                <c:pt idx="2">
                  <c:v>0.334344090469189</c:v>
                </c:pt>
                <c:pt idx="3">
                  <c:v>0.30934659528389652</c:v>
                </c:pt>
                <c:pt idx="4">
                  <c:v>0.28618747834763203</c:v>
                </c:pt>
                <c:pt idx="5">
                  <c:v>0.26534852756211358</c:v>
                </c:pt>
                <c:pt idx="6">
                  <c:v>0.24741669499642638</c:v>
                </c:pt>
                <c:pt idx="7">
                  <c:v>0.23306396635622481</c:v>
                </c:pt>
                <c:pt idx="8">
                  <c:v>0.2229825451276507</c:v>
                </c:pt>
                <c:pt idx="9">
                  <c:v>0.21776645751052057</c:v>
                </c:pt>
                <c:pt idx="10">
                  <c:v>0.2177655991402829</c:v>
                </c:pt>
                <c:pt idx="11">
                  <c:v>0.22298003024562446</c:v>
                </c:pt>
                <c:pt idx="12">
                  <c:v>0.23305995618063557</c:v>
                </c:pt>
                <c:pt idx="13">
                  <c:v>0.24741140642393275</c:v>
                </c:pt>
                <c:pt idx="14">
                  <c:v>0.2653421874666459</c:v>
                </c:pt>
                <c:pt idx="15">
                  <c:v>0.28618029358722341</c:v>
                </c:pt>
                <c:pt idx="16">
                  <c:v>0.30933873988383936</c:v>
                </c:pt>
                <c:pt idx="17">
                  <c:v>0.33433570421859149</c:v>
                </c:pt>
                <c:pt idx="18">
                  <c:v>0.36078924846082899</c:v>
                </c:pt>
                <c:pt idx="19">
                  <c:v>0.38840186928191489</c:v>
                </c:pt>
              </c:numCache>
            </c:numRef>
          </c:xVal>
          <c:yVal>
            <c:numRef>
              <c:f>Data!$AP$9:$AP$28</c:f>
              <c:numCache>
                <c:formatCode>0%</c:formatCode>
                <c:ptCount val="20"/>
                <c:pt idx="0">
                  <c:v>5.7534969977648065E-2</c:v>
                </c:pt>
                <c:pt idx="1">
                  <c:v>5.9769971592611076E-2</c:v>
                </c:pt>
                <c:pt idx="2">
                  <c:v>6.2004973207574088E-2</c:v>
                </c:pt>
                <c:pt idx="3">
                  <c:v>6.4239974822537099E-2</c:v>
                </c:pt>
                <c:pt idx="4">
                  <c:v>6.6474976437500111E-2</c:v>
                </c:pt>
                <c:pt idx="5">
                  <c:v>6.8709978052463122E-2</c:v>
                </c:pt>
                <c:pt idx="6">
                  <c:v>7.0944979667426133E-2</c:v>
                </c:pt>
                <c:pt idx="7">
                  <c:v>7.3179981282389145E-2</c:v>
                </c:pt>
                <c:pt idx="8">
                  <c:v>7.5414982897352156E-2</c:v>
                </c:pt>
                <c:pt idx="9">
                  <c:v>7.7649984512315168E-2</c:v>
                </c:pt>
                <c:pt idx="10">
                  <c:v>7.9884986127278179E-2</c:v>
                </c:pt>
                <c:pt idx="11">
                  <c:v>8.2119987742241191E-2</c:v>
                </c:pt>
                <c:pt idx="12">
                  <c:v>8.4354989357204202E-2</c:v>
                </c:pt>
                <c:pt idx="13">
                  <c:v>8.6589990972167213E-2</c:v>
                </c:pt>
                <c:pt idx="14">
                  <c:v>8.8824992587130225E-2</c:v>
                </c:pt>
                <c:pt idx="15">
                  <c:v>9.1059994202093236E-2</c:v>
                </c:pt>
                <c:pt idx="16">
                  <c:v>9.3294995817056248E-2</c:v>
                </c:pt>
                <c:pt idx="17">
                  <c:v>9.5529997432019259E-2</c:v>
                </c:pt>
                <c:pt idx="18">
                  <c:v>9.7764999046982271E-2</c:v>
                </c:pt>
                <c:pt idx="19">
                  <c:v>0.10000000066194528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B9-4458-AC1A-E96FFAA369F6}"/>
            </c:ext>
          </c:extLst>
        </c:ser>
        <c:ser>
          <c:idx val="1"/>
          <c:order val="1"/>
          <c:tx>
            <c:v>Unconstrained Global Minimum Variance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</c:spPr>
          </c:marker>
          <c:xVal>
            <c:numRef>
              <c:f>Models!$C$42</c:f>
              <c:numCache>
                <c:formatCode>0.00%</c:formatCode>
                <c:ptCount val="1"/>
                <c:pt idx="0">
                  <c:v>0.21710531552352966</c:v>
                </c:pt>
              </c:numCache>
            </c:numRef>
          </c:xVal>
          <c:yVal>
            <c:numRef>
              <c:f>Models!$C$41</c:f>
              <c:numCache>
                <c:formatCode>0.00%</c:formatCode>
                <c:ptCount val="1"/>
                <c:pt idx="0">
                  <c:v>7.8767485319796701E-2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B9-4458-AC1A-E96FFAA369F6}"/>
            </c:ext>
          </c:extLst>
        </c:ser>
        <c:ser>
          <c:idx val="8"/>
          <c:order val="2"/>
          <c:tx>
            <c:v>Constrained Global Minimum Variance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bg2">
                  <a:lumMod val="25000"/>
                </a:schemeClr>
              </a:solidFill>
            </c:spPr>
          </c:marker>
          <c:xVal>
            <c:numRef>
              <c:f>Models!$G$42</c:f>
              <c:numCache>
                <c:formatCode>0.00%</c:formatCode>
                <c:ptCount val="1"/>
                <c:pt idx="0">
                  <c:v>0.22159528039778939</c:v>
                </c:pt>
              </c:numCache>
            </c:numRef>
          </c:xVal>
          <c:yVal>
            <c:numRef>
              <c:f>Models!$G$41</c:f>
              <c:numCache>
                <c:formatCode>0.00%</c:formatCode>
                <c:ptCount val="1"/>
                <c:pt idx="0">
                  <c:v>8.1103628892793989E-2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FB9-4458-AC1A-E96FFAA369F6}"/>
            </c:ext>
          </c:extLst>
        </c:ser>
        <c:ser>
          <c:idx val="2"/>
          <c:order val="3"/>
          <c:tx>
            <c:v>Maximize Expected Utility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002060"/>
              </a:solidFill>
            </c:spPr>
          </c:marker>
          <c:xVal>
            <c:numRef>
              <c:f>Models!$K$42</c:f>
              <c:numCache>
                <c:formatCode>0.00%</c:formatCode>
                <c:ptCount val="1"/>
                <c:pt idx="0">
                  <c:v>0.22170436861177889</c:v>
                </c:pt>
              </c:numCache>
            </c:numRef>
          </c:xVal>
          <c:yVal>
            <c:numRef>
              <c:f>Models!$K$41</c:f>
              <c:numCache>
                <c:formatCode>0.00%</c:formatCode>
                <c:ptCount val="1"/>
                <c:pt idx="0">
                  <c:v>8.1349268950427475E-2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FB9-4458-AC1A-E96FFAA369F6}"/>
            </c:ext>
          </c:extLst>
        </c:ser>
        <c:ser>
          <c:idx val="3"/>
          <c:order val="4"/>
          <c:tx>
            <c:v>Minimize Std Dev for Exp Ret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</c:spPr>
          </c:marker>
          <c:xVal>
            <c:numRef>
              <c:f>Models!$O$42</c:f>
              <c:numCache>
                <c:formatCode>0.00%</c:formatCode>
                <c:ptCount val="1"/>
                <c:pt idx="0">
                  <c:v>0.40272441344532373</c:v>
                </c:pt>
              </c:numCache>
            </c:numRef>
          </c:xVal>
          <c:yVal>
            <c:numRef>
              <c:f>Models!$O$41</c:f>
              <c:numCache>
                <c:formatCode>0.00%</c:formatCode>
                <c:ptCount val="1"/>
                <c:pt idx="0">
                  <c:v>0.10000000066194534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FB9-4458-AC1A-E96FFAA369F6}"/>
            </c:ext>
          </c:extLst>
        </c:ser>
        <c:ser>
          <c:idx val="4"/>
          <c:order val="5"/>
          <c:tx>
            <c:v>Maximize Exp Ret for Std Dev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xVal>
            <c:numRef>
              <c:f>Models!$S$42</c:f>
              <c:numCache>
                <c:formatCode>0.00%</c:formatCode>
                <c:ptCount val="1"/>
                <c:pt idx="0">
                  <c:v>0.221595272104262</c:v>
                </c:pt>
              </c:numCache>
            </c:numRef>
          </c:xVal>
          <c:yVal>
            <c:numRef>
              <c:f>Models!$S$41</c:f>
              <c:numCache>
                <c:formatCode>0.00%</c:formatCode>
                <c:ptCount val="1"/>
                <c:pt idx="0">
                  <c:v>8.1104191716155877E-2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FB9-4458-AC1A-E96FFAA369F6}"/>
            </c:ext>
          </c:extLst>
        </c:ser>
        <c:ser>
          <c:idx val="5"/>
          <c:order val="6"/>
          <c:tx>
            <c:v>Maximize CAL Slope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xVal>
            <c:numRef>
              <c:f>Models!$W$42</c:f>
              <c:numCache>
                <c:formatCode>0.00%</c:formatCode>
                <c:ptCount val="1"/>
                <c:pt idx="0">
                  <c:v>0.25429903248589075</c:v>
                </c:pt>
              </c:numCache>
            </c:numRef>
          </c:xVal>
          <c:yVal>
            <c:numRef>
              <c:f>Models!$W$41</c:f>
              <c:numCache>
                <c:formatCode>0.00%</c:formatCode>
                <c:ptCount val="1"/>
                <c:pt idx="0">
                  <c:v>8.7497394560232339E-2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FB9-4458-AC1A-E96FFAA369F6}"/>
            </c:ext>
          </c:extLst>
        </c:ser>
        <c:ser>
          <c:idx val="10"/>
          <c:order val="7"/>
          <c:tx>
            <c:v>Minimize Std Dev for Beta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Models!$AA$42</c:f>
              <c:numCache>
                <c:formatCode>0.00%</c:formatCode>
                <c:ptCount val="1"/>
                <c:pt idx="0">
                  <c:v>0.22159528128531009</c:v>
                </c:pt>
              </c:numCache>
            </c:numRef>
          </c:xVal>
          <c:yVal>
            <c:numRef>
              <c:f>Models!$AA$41</c:f>
              <c:numCache>
                <c:formatCode>0.00%</c:formatCode>
                <c:ptCount val="1"/>
                <c:pt idx="0">
                  <c:v>8.1103536174156374E-2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FB9-4458-AC1A-E96FFAA369F6}"/>
            </c:ext>
          </c:extLst>
        </c:ser>
        <c:ser>
          <c:idx val="6"/>
          <c:order val="8"/>
          <c:tx>
            <c:v>Risk-free Rate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Ref>
              <c:f>Data!$B$4</c:f>
              <c:numCache>
                <c:formatCode>0.00%</c:formatCode>
                <c:ptCount val="1"/>
                <c:pt idx="0">
                  <c:v>5.5300000000000002E-2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FB9-4458-AC1A-E96FFAA369F6}"/>
            </c:ext>
          </c:extLst>
        </c:ser>
        <c:ser>
          <c:idx val="7"/>
          <c:order val="9"/>
          <c:tx>
            <c:v>Capital Allocation Line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Models!$V$53:$V$55</c:f>
              <c:numCache>
                <c:formatCode>0.00%</c:formatCode>
                <c:ptCount val="3"/>
                <c:pt idx="0">
                  <c:v>0</c:v>
                </c:pt>
                <c:pt idx="1">
                  <c:v>0.25429903248589075</c:v>
                </c:pt>
                <c:pt idx="2">
                  <c:v>0.38144854872883616</c:v>
                </c:pt>
              </c:numCache>
            </c:numRef>
          </c:xVal>
          <c:yVal>
            <c:numRef>
              <c:f>Models!$W$53:$W$55</c:f>
              <c:numCache>
                <c:formatCode>0.00%</c:formatCode>
                <c:ptCount val="3"/>
                <c:pt idx="0">
                  <c:v>5.5300000000000002E-2</c:v>
                </c:pt>
                <c:pt idx="1">
                  <c:v>8.7497394560232339E-2</c:v>
                </c:pt>
                <c:pt idx="2">
                  <c:v>0.10359609184034851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FB9-4458-AC1A-E96FFAA369F6}"/>
            </c:ext>
          </c:extLst>
        </c:ser>
        <c:ser>
          <c:idx val="9"/>
          <c:order val="10"/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Data!$A$9</c:f>
                  <c:strCache>
                    <c:ptCount val="1"/>
                    <c:pt idx="0">
                      <c:v>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{E47FC7A1-EF9E-4499-B500-1BB1012B8AD9}</c15:txfldGUID>
                      <c15:f>Data!$A$9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5FB9-4458-AC1A-E96FFAA369F6}"/>
                </c:ext>
              </c:extLst>
            </c:dLbl>
            <c:dLbl>
              <c:idx val="1"/>
              <c:tx>
                <c:strRef>
                  <c:f>Data!$A$10</c:f>
                  <c:strCache>
                    <c:ptCount val="1"/>
                    <c:pt idx="0">
                      <c:v>2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{675D79AE-879B-415D-9E9C-C955F7E1137B}</c15:txfldGUID>
                      <c15:f>Data!$A$10</c15:f>
                      <c15:dlblFieldTableCache>
                        <c:ptCount val="1"/>
                        <c:pt idx="0">
                          <c:v>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5FB9-4458-AC1A-E96FFAA369F6}"/>
                </c:ext>
              </c:extLst>
            </c:dLbl>
            <c:dLbl>
              <c:idx val="2"/>
              <c:tx>
                <c:strRef>
                  <c:f>Data!$A$11</c:f>
                  <c:strCache>
                    <c:ptCount val="1"/>
                    <c:pt idx="0">
                      <c:v>3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{39F504C6-594C-46DD-BFC6-85612F9D685C}</c15:txfldGUID>
                      <c15:f>Data!$A$11</c15:f>
                      <c15:dlblFieldTableCache>
                        <c:ptCount val="1"/>
                        <c:pt idx="0">
                          <c:v>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5FB9-4458-AC1A-E96FFAA369F6}"/>
                </c:ext>
              </c:extLst>
            </c:dLbl>
            <c:dLbl>
              <c:idx val="3"/>
              <c:tx>
                <c:strRef>
                  <c:f>Data!$A$12</c:f>
                  <c:strCache>
                    <c:ptCount val="1"/>
                    <c:pt idx="0">
                      <c:v>4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{C35A3E53-1AF9-40A9-A20D-04300DEE6D42}</c15:txfldGUID>
                      <c15:f>Data!$A$12</c15:f>
                      <c15:dlblFieldTableCache>
                        <c:ptCount val="1"/>
                        <c:pt idx="0">
                          <c:v>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5FB9-4458-AC1A-E96FFAA369F6}"/>
                </c:ext>
              </c:extLst>
            </c:dLbl>
            <c:dLbl>
              <c:idx val="4"/>
              <c:tx>
                <c:strRef>
                  <c:f>Data!$A$13</c:f>
                  <c:strCache>
                    <c:ptCount val="1"/>
                    <c:pt idx="0">
                      <c:v>5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{58778C94-F396-4C53-A66E-0AD0F098A3A8}</c15:txfldGUID>
                      <c15:f>Data!$A$13</c15:f>
                      <c15:dlblFieldTableCache>
                        <c:ptCount val="1"/>
                        <c:pt idx="0">
                          <c:v>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5FB9-4458-AC1A-E96FFAA369F6}"/>
                </c:ext>
              </c:extLst>
            </c:dLbl>
            <c:dLbl>
              <c:idx val="5"/>
              <c:tx>
                <c:strRef>
                  <c:f>Data!$A$14</c:f>
                  <c:strCache>
                    <c:ptCount val="1"/>
                    <c:pt idx="0">
                      <c:v>6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{97F08B56-55A0-4AFC-A7AD-1A46405EDA15}</c15:txfldGUID>
                      <c15:f>Data!$A$14</c15:f>
                      <c15:dlblFieldTableCache>
                        <c:ptCount val="1"/>
                        <c:pt idx="0">
                          <c:v>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5FB9-4458-AC1A-E96FFAA369F6}"/>
                </c:ext>
              </c:extLst>
            </c:dLbl>
            <c:dLbl>
              <c:idx val="6"/>
              <c:tx>
                <c:strRef>
                  <c:f>Data!$A$15</c:f>
                  <c:strCache>
                    <c:ptCount val="1"/>
                    <c:pt idx="0">
                      <c:v>7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{AA04AE77-9B1F-44FB-85A9-81065AF5AD50}</c15:txfldGUID>
                      <c15:f>Data!$A$15</c15:f>
                      <c15:dlblFieldTableCache>
                        <c:ptCount val="1"/>
                        <c:pt idx="0">
                          <c:v>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5FB9-4458-AC1A-E96FFAA369F6}"/>
                </c:ext>
              </c:extLst>
            </c:dLbl>
            <c:dLbl>
              <c:idx val="7"/>
              <c:tx>
                <c:strRef>
                  <c:f>Data!$A$16</c:f>
                  <c:strCache>
                    <c:ptCount val="1"/>
                    <c:pt idx="0">
                      <c:v>8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{A8A48B56-FA8A-40B3-9443-1E7F0BC8F2F6}</c15:txfldGUID>
                      <c15:f>Data!$A$16</c15:f>
                      <c15:dlblFieldTableCache>
                        <c:ptCount val="1"/>
                        <c:pt idx="0">
                          <c:v>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5FB9-4458-AC1A-E96FFAA369F6}"/>
                </c:ext>
              </c:extLst>
            </c:dLbl>
            <c:dLbl>
              <c:idx val="8"/>
              <c:tx>
                <c:strRef>
                  <c:f>Data!$A$17</c:f>
                  <c:strCache>
                    <c:ptCount val="1"/>
                    <c:pt idx="0">
                      <c:v>9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{DAC97745-6D59-4593-A728-65EF8CADA735}</c15:txfldGUID>
                      <c15:f>Data!$A$17</c15:f>
                      <c15:dlblFieldTableCache>
                        <c:ptCount val="1"/>
                        <c:pt idx="0">
                          <c:v>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5FB9-4458-AC1A-E96FFAA369F6}"/>
                </c:ext>
              </c:extLst>
            </c:dLbl>
            <c:dLbl>
              <c:idx val="9"/>
              <c:tx>
                <c:strRef>
                  <c:f>Data!$A$18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{BBC4B81E-DA5C-400B-B1F7-8366684ABC41}</c15:txfldGUID>
                      <c15:f>Data!$A$18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5FB9-4458-AC1A-E96FFAA369F6}"/>
                </c:ext>
              </c:extLst>
            </c:dLbl>
            <c:dLbl>
              <c:idx val="10"/>
              <c:tx>
                <c:strRef>
                  <c:f>Data!$A$19</c:f>
                  <c:strCache>
                    <c:ptCount val="1"/>
                    <c:pt idx="0">
                      <c:v>11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{2DAC2489-1479-46FF-ABF0-375641A3FC05}</c15:txfldGUID>
                      <c15:f>Data!$A$19</c15:f>
                      <c15:dlblFieldTableCache>
                        <c:ptCount val="1"/>
                        <c:pt idx="0">
                          <c:v>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5FB9-4458-AC1A-E96FFAA369F6}"/>
                </c:ext>
              </c:extLst>
            </c:dLbl>
            <c:dLbl>
              <c:idx val="11"/>
              <c:tx>
                <c:strRef>
                  <c:f>Data!$A$20</c:f>
                  <c:strCache>
                    <c:ptCount val="1"/>
                    <c:pt idx="0">
                      <c:v>12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{E0C713DF-D98E-4B1C-9E75-64465C721664}</c15:txfldGUID>
                      <c15:f>Data!$A$20</c15:f>
                      <c15:dlblFieldTableCache>
                        <c:ptCount val="1"/>
                        <c:pt idx="0">
                          <c:v>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5FB9-4458-AC1A-E96FFAA369F6}"/>
                </c:ext>
              </c:extLst>
            </c:dLbl>
            <c:dLbl>
              <c:idx val="12"/>
              <c:tx>
                <c:strRef>
                  <c:f>Data!$A$21</c:f>
                  <c:strCache>
                    <c:ptCount val="1"/>
                    <c:pt idx="0">
                      <c:v>13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{D29620E6-4B5F-4ED0-9975-F9D2545959E2}</c15:txfldGUID>
                      <c15:f>Data!$A$21</c15:f>
                      <c15:dlblFieldTableCache>
                        <c:ptCount val="1"/>
                        <c:pt idx="0">
                          <c:v>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5FB9-4458-AC1A-E96FFAA369F6}"/>
                </c:ext>
              </c:extLst>
            </c:dLbl>
            <c:dLbl>
              <c:idx val="13"/>
              <c:tx>
                <c:strRef>
                  <c:f>Data!$A$22</c:f>
                  <c:strCache>
                    <c:ptCount val="1"/>
                    <c:pt idx="0">
                      <c:v>14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{1F52C041-7846-400C-AC82-64BC7A152869}</c15:txfldGUID>
                      <c15:f>Data!$A$22</c15:f>
                      <c15:dlblFieldTableCache>
                        <c:ptCount val="1"/>
                        <c:pt idx="0">
                          <c:v>14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5FB9-4458-AC1A-E96FFAA369F6}"/>
                </c:ext>
              </c:extLst>
            </c:dLbl>
            <c:dLbl>
              <c:idx val="14"/>
              <c:tx>
                <c:strRef>
                  <c:f>Data!$A$23</c:f>
                  <c:strCache>
                    <c:ptCount val="1"/>
                    <c:pt idx="0">
                      <c:v>15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{48052949-173B-4DE0-8C02-350F647F628F}</c15:txfldGUID>
                      <c15:f>Data!$A$23</c15:f>
                      <c15:dlblFieldTableCache>
                        <c:ptCount val="1"/>
                        <c:pt idx="0">
                          <c:v>15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5FB9-4458-AC1A-E96FFAA369F6}"/>
                </c:ext>
              </c:extLst>
            </c:dLbl>
            <c:dLbl>
              <c:idx val="15"/>
              <c:tx>
                <c:strRef>
                  <c:f>Data!$A$24</c:f>
                  <c:strCache>
                    <c:ptCount val="1"/>
                    <c:pt idx="0">
                      <c:v>16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{C22F8A94-FA32-4BA2-ADE2-4431369514F7}</c15:txfldGUID>
                      <c15:f>Data!$A$24</c15:f>
                      <c15:dlblFieldTableCache>
                        <c:ptCount val="1"/>
                        <c:pt idx="0">
                          <c:v>16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5FB9-4458-AC1A-E96FFAA369F6}"/>
                </c:ext>
              </c:extLst>
            </c:dLbl>
            <c:dLbl>
              <c:idx val="16"/>
              <c:tx>
                <c:strRef>
                  <c:f>Data!$A$25</c:f>
                  <c:strCache>
                    <c:ptCount val="1"/>
                    <c:pt idx="0">
                      <c:v>17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{AAF46CF7-98C9-40E9-B2A5-5DAE98FCF19C}</c15:txfldGUID>
                      <c15:f>Data!$A$25</c15:f>
                      <c15:dlblFieldTableCache>
                        <c:ptCount val="1"/>
                        <c:pt idx="0">
                          <c:v>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5FB9-4458-AC1A-E96FFAA369F6}"/>
                </c:ext>
              </c:extLst>
            </c:dLbl>
            <c:dLbl>
              <c:idx val="17"/>
              <c:tx>
                <c:strRef>
                  <c:f>Data!$A$26</c:f>
                  <c:strCache>
                    <c:ptCount val="1"/>
                    <c:pt idx="0">
                      <c:v>18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{D76E671B-F903-4EA5-80D0-DB2D665DA90F}</c15:txfldGUID>
                      <c15:f>Data!$A$26</c15:f>
                      <c15:dlblFieldTableCache>
                        <c:ptCount val="1"/>
                        <c:pt idx="0">
                          <c:v>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5FB9-4458-AC1A-E96FFAA369F6}"/>
                </c:ext>
              </c:extLst>
            </c:dLbl>
            <c:dLbl>
              <c:idx val="18"/>
              <c:tx>
                <c:strRef>
                  <c:f>Data!$A$27</c:f>
                  <c:strCache>
                    <c:ptCount val="1"/>
                    <c:pt idx="0">
                      <c:v>19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{26784EEC-3781-426A-870F-9A948D9932D9}</c15:txfldGUID>
                      <c15:f>Data!$A$27</c15:f>
                      <c15:dlblFieldTableCache>
                        <c:ptCount val="1"/>
                        <c:pt idx="0">
                          <c:v>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5FB9-4458-AC1A-E96FFAA369F6}"/>
                </c:ext>
              </c:extLst>
            </c:dLbl>
            <c:dLbl>
              <c:idx val="19"/>
              <c:tx>
                <c:strRef>
                  <c:f>Data!$A$28</c:f>
                  <c:strCache>
                    <c:ptCount val="1"/>
                    <c:pt idx="0">
                      <c:v>20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{1E53BC4F-EE10-4BE5-B78E-A80FC785050A}</c15:txfldGUID>
                      <c15:f>Data!$A$28</c15:f>
                      <c15:dlblFieldTableCache>
                        <c:ptCount val="1"/>
                        <c:pt idx="0">
                          <c:v>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5FB9-4458-AC1A-E96FFAA36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[0]!sigma</c:f>
              <c:numCache>
                <c:formatCode>0.00%</c:formatCode>
                <c:ptCount val="14"/>
                <c:pt idx="0">
                  <c:v>0.35182941209542706</c:v>
                </c:pt>
                <c:pt idx="1">
                  <c:v>0.61996982687524982</c:v>
                </c:pt>
                <c:pt idx="2">
                  <c:v>0.79136136236895349</c:v>
                </c:pt>
                <c:pt idx="3">
                  <c:v>0.49748754570011677</c:v>
                </c:pt>
                <c:pt idx="4">
                  <c:v>0.35376135117658419</c:v>
                </c:pt>
                <c:pt idx="5">
                  <c:v>0.59069818979956945</c:v>
                </c:pt>
                <c:pt idx="6">
                  <c:v>0.31873521760095597</c:v>
                </c:pt>
                <c:pt idx="7">
                  <c:v>0.74283098692711125</c:v>
                </c:pt>
                <c:pt idx="8">
                  <c:v>0.43778329681232825</c:v>
                </c:pt>
                <c:pt idx="9">
                  <c:v>0.39028514917392826</c:v>
                </c:pt>
                <c:pt idx="10">
                  <c:v>0.69770985999203672</c:v>
                </c:pt>
                <c:pt idx="11">
                  <c:v>0.3042920359723732</c:v>
                </c:pt>
                <c:pt idx="12">
                  <c:v>0.44233642220787411</c:v>
                </c:pt>
                <c:pt idx="13">
                  <c:v>0.42884217644502265</c:v>
                </c:pt>
              </c:numCache>
            </c:numRef>
          </c:xVal>
          <c:yVal>
            <c:numRef>
              <c:f>[0]!ER</c:f>
              <c:numCache>
                <c:formatCode>0.00%</c:formatCode>
                <c:ptCount val="14"/>
                <c:pt idx="0">
                  <c:v>8.3092575819140507E-2</c:v>
                </c:pt>
                <c:pt idx="1">
                  <c:v>9.9036724470161791E-2</c:v>
                </c:pt>
                <c:pt idx="2">
                  <c:v>0.10604997636055467</c:v>
                </c:pt>
                <c:pt idx="3">
                  <c:v>7.9333786581666219E-2</c:v>
                </c:pt>
                <c:pt idx="4">
                  <c:v>8.9219306483927716E-2</c:v>
                </c:pt>
                <c:pt idx="5">
                  <c:v>9.8455231247559588E-2</c:v>
                </c:pt>
                <c:pt idx="6">
                  <c:v>7.868111828109052E-2</c:v>
                </c:pt>
                <c:pt idx="7">
                  <c:v>7.1449215418574935E-2</c:v>
                </c:pt>
                <c:pt idx="8">
                  <c:v>8.2102771404728825E-2</c:v>
                </c:pt>
                <c:pt idx="9">
                  <c:v>8.6266608859242852E-2</c:v>
                </c:pt>
                <c:pt idx="10">
                  <c:v>0.10456425383056792</c:v>
                </c:pt>
                <c:pt idx="11">
                  <c:v>8.1385608760317835E-2</c:v>
                </c:pt>
                <c:pt idx="12">
                  <c:v>9.3519372371013751E-2</c:v>
                </c:pt>
                <c:pt idx="13">
                  <c:v>8.2337063258048113E-2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FB9-4458-AC1A-E96FFAA36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5098992"/>
        <c:axId val="405097424"/>
      </c:scatterChart>
      <c:valAx>
        <c:axId val="405098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aseline="0">
                    <a:latin typeface="Symbol" pitchFamily="18" charset="2"/>
                  </a:rPr>
                  <a:t>s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405097424"/>
        <c:crosses val="autoZero"/>
        <c:crossBetween val="midCat"/>
      </c:valAx>
      <c:valAx>
        <c:axId val="405097424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E(r)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405098992"/>
        <c:crosses val="autoZero"/>
        <c:crossBetween val="midCat"/>
      </c:valAx>
      <c:spPr>
        <a:noFill/>
      </c:spPr>
    </c:plotArea>
    <c:legend>
      <c:legendPos val="l"/>
      <c:legendEntry>
        <c:idx val="10"/>
        <c:delete val="1"/>
      </c:legendEntry>
      <c:layout>
        <c:manualLayout>
          <c:xMode val="edge"/>
          <c:yMode val="edge"/>
          <c:x val="0.70122498203643369"/>
          <c:y val="0.53831321581754432"/>
          <c:w val="0.26520462667205891"/>
          <c:h val="0.3403385345246363"/>
        </c:manualLayout>
      </c:layout>
      <c:overlay val="1"/>
      <c:spPr>
        <a:noFill/>
        <a:ln>
          <a:solidFill>
            <a:sysClr val="windowText" lastClr="000000"/>
          </a:solidFill>
        </a:ln>
      </c:spPr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Chart1"/>
  <sheetViews>
    <sheetView zoomScale="120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561975</xdr:colOff>
      <xdr:row>6</xdr:row>
      <xdr:rowOff>133350</xdr:rowOff>
    </xdr:from>
    <xdr:to>
      <xdr:col>13</xdr:col>
      <xdr:colOff>542925</xdr:colOff>
      <xdr:row>12</xdr:row>
      <xdr:rowOff>47625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619625" y="1390650"/>
          <a:ext cx="3028950" cy="1095375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/>
            <a:t>Notes: </a:t>
          </a:r>
        </a:p>
        <a:p>
          <a:endParaRPr lang="en-US" sz="1100"/>
        </a:p>
        <a:p>
          <a:r>
            <a:rPr lang="en-US" sz="1100"/>
            <a:t>1.  The</a:t>
          </a:r>
          <a:r>
            <a:rPr lang="en-US" sz="1100" baseline="0"/>
            <a:t> time units for all the returns,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including the risk-free rate, </a:t>
          </a:r>
          <a:r>
            <a:rPr lang="en-US" sz="1100" baseline="0"/>
            <a:t>should be the same (% per year, % per month, or % per week).</a:t>
          </a:r>
        </a:p>
        <a:p>
          <a:endParaRPr lang="en-US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403860</xdr:colOff>
          <xdr:row>2</xdr:row>
          <xdr:rowOff>152400</xdr:rowOff>
        </xdr:from>
        <xdr:to>
          <xdr:col>6</xdr:col>
          <xdr:colOff>480060</xdr:colOff>
          <xdr:row>5</xdr:row>
          <xdr:rowOff>0</xdr:rowOff>
        </xdr:to>
        <xdr:sp macro="" textlink="">
          <xdr:nvSpPr>
            <xdr:cNvPr id="14342" name="Button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2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the Optimizer!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2"/>
  <dimension ref="A1:I51"/>
  <sheetViews>
    <sheetView showGridLines="0" topLeftCell="A6" workbookViewId="0">
      <selection activeCell="A3" sqref="A3:I3"/>
    </sheetView>
  </sheetViews>
  <sheetFormatPr defaultColWidth="9.109375" defaultRowHeight="14.4" x14ac:dyDescent="0.3"/>
  <cols>
    <col min="1" max="16384" width="9.109375" style="1"/>
  </cols>
  <sheetData>
    <row r="1" spans="1:9" ht="18" x14ac:dyDescent="0.35">
      <c r="A1" s="63" t="s">
        <v>59</v>
      </c>
      <c r="B1" s="63"/>
      <c r="C1" s="63"/>
      <c r="D1" s="63"/>
      <c r="E1" s="63"/>
      <c r="F1" s="63"/>
      <c r="G1" s="63"/>
      <c r="H1" s="63"/>
      <c r="I1" s="63"/>
    </row>
    <row r="2" spans="1:9" ht="15.6" x14ac:dyDescent="0.3">
      <c r="A2" s="64" t="s">
        <v>0</v>
      </c>
      <c r="B2" s="64"/>
      <c r="C2" s="64"/>
      <c r="D2" s="64"/>
      <c r="E2" s="64"/>
      <c r="F2" s="64"/>
      <c r="G2" s="64"/>
      <c r="H2" s="64"/>
      <c r="I2" s="64"/>
    </row>
    <row r="3" spans="1:9" x14ac:dyDescent="0.3">
      <c r="A3" s="66" t="s">
        <v>101</v>
      </c>
      <c r="B3" s="66"/>
      <c r="C3" s="66"/>
      <c r="D3" s="66"/>
      <c r="E3" s="66"/>
      <c r="F3" s="66"/>
      <c r="G3" s="66"/>
      <c r="H3" s="66"/>
      <c r="I3" s="66"/>
    </row>
    <row r="4" spans="1:9" x14ac:dyDescent="0.3">
      <c r="A4" s="65" t="s">
        <v>10</v>
      </c>
      <c r="B4" s="65"/>
      <c r="C4" s="65"/>
      <c r="D4" s="65"/>
      <c r="E4" s="65"/>
      <c r="F4" s="65"/>
      <c r="G4" s="65"/>
      <c r="H4" s="65"/>
      <c r="I4" s="65"/>
    </row>
    <row r="6" spans="1:9" x14ac:dyDescent="0.3">
      <c r="A6" s="55" t="s">
        <v>75</v>
      </c>
      <c r="B6" s="2"/>
    </row>
    <row r="7" spans="1:9" x14ac:dyDescent="0.3">
      <c r="A7" s="55" t="s">
        <v>76</v>
      </c>
      <c r="B7" s="2"/>
    </row>
    <row r="8" spans="1:9" x14ac:dyDescent="0.3">
      <c r="A8" s="55" t="s">
        <v>77</v>
      </c>
      <c r="B8" s="2"/>
    </row>
    <row r="9" spans="1:9" x14ac:dyDescent="0.3">
      <c r="A9" s="1" t="s">
        <v>78</v>
      </c>
    </row>
    <row r="10" spans="1:9" x14ac:dyDescent="0.3">
      <c r="A10" s="1" t="s">
        <v>79</v>
      </c>
    </row>
    <row r="12" spans="1:9" x14ac:dyDescent="0.3">
      <c r="A12" s="1" t="s">
        <v>17</v>
      </c>
    </row>
    <row r="13" spans="1:9" x14ac:dyDescent="0.3">
      <c r="A13" s="31" t="s">
        <v>32</v>
      </c>
      <c r="B13" s="1" t="s">
        <v>39</v>
      </c>
    </row>
    <row r="14" spans="1:9" x14ac:dyDescent="0.3">
      <c r="A14" s="31" t="s">
        <v>40</v>
      </c>
      <c r="B14" s="1" t="s">
        <v>41</v>
      </c>
    </row>
    <row r="15" spans="1:9" x14ac:dyDescent="0.3">
      <c r="A15" s="32" t="s">
        <v>32</v>
      </c>
      <c r="B15" s="1" t="s">
        <v>18</v>
      </c>
    </row>
    <row r="16" spans="1:9" ht="16.2" x14ac:dyDescent="0.3">
      <c r="A16" s="31"/>
      <c r="B16" s="1" t="s">
        <v>19</v>
      </c>
    </row>
    <row r="17" spans="1:2" x14ac:dyDescent="0.3">
      <c r="A17" s="32" t="s">
        <v>32</v>
      </c>
      <c r="B17" s="1" t="s">
        <v>82</v>
      </c>
    </row>
    <row r="18" spans="1:2" x14ac:dyDescent="0.3">
      <c r="A18" s="31"/>
      <c r="B18" s="1" t="s">
        <v>20</v>
      </c>
    </row>
    <row r="19" spans="1:2" x14ac:dyDescent="0.3">
      <c r="A19" s="32" t="s">
        <v>32</v>
      </c>
      <c r="B19" s="1" t="s">
        <v>21</v>
      </c>
    </row>
    <row r="20" spans="1:2" x14ac:dyDescent="0.3">
      <c r="A20" s="31"/>
      <c r="B20" s="1" t="s">
        <v>22</v>
      </c>
    </row>
    <row r="21" spans="1:2" x14ac:dyDescent="0.3">
      <c r="A21" s="32" t="s">
        <v>32</v>
      </c>
      <c r="B21" s="1" t="s">
        <v>33</v>
      </c>
    </row>
    <row r="22" spans="1:2" x14ac:dyDescent="0.3">
      <c r="A22" s="32" t="s">
        <v>32</v>
      </c>
      <c r="B22" s="1" t="s">
        <v>82</v>
      </c>
    </row>
    <row r="23" spans="1:2" x14ac:dyDescent="0.3">
      <c r="A23" s="31"/>
      <c r="B23" s="1" t="s">
        <v>80</v>
      </c>
    </row>
    <row r="24" spans="1:2" x14ac:dyDescent="0.3">
      <c r="A24" s="31"/>
    </row>
    <row r="25" spans="1:2" x14ac:dyDescent="0.3">
      <c r="A25" s="16" t="s">
        <v>45</v>
      </c>
    </row>
    <row r="26" spans="1:2" x14ac:dyDescent="0.3">
      <c r="A26" s="16" t="s">
        <v>46</v>
      </c>
    </row>
    <row r="27" spans="1:2" x14ac:dyDescent="0.3">
      <c r="A27" s="16" t="s">
        <v>47</v>
      </c>
    </row>
    <row r="29" spans="1:2" x14ac:dyDescent="0.3">
      <c r="A29" s="1" t="s">
        <v>42</v>
      </c>
    </row>
    <row r="30" spans="1:2" x14ac:dyDescent="0.3">
      <c r="A30" s="1" t="s">
        <v>43</v>
      </c>
    </row>
    <row r="31" spans="1:2" x14ac:dyDescent="0.3">
      <c r="A31" s="1" t="s">
        <v>44</v>
      </c>
    </row>
    <row r="33" spans="1:1" x14ac:dyDescent="0.3">
      <c r="A33" s="1" t="s">
        <v>54</v>
      </c>
    </row>
    <row r="34" spans="1:1" x14ac:dyDescent="0.3">
      <c r="A34" s="1" t="s">
        <v>55</v>
      </c>
    </row>
    <row r="35" spans="1:1" x14ac:dyDescent="0.3">
      <c r="A35" s="1" t="s">
        <v>56</v>
      </c>
    </row>
    <row r="37" spans="1:1" x14ac:dyDescent="0.3">
      <c r="A37" s="1" t="s">
        <v>81</v>
      </c>
    </row>
    <row r="38" spans="1:1" x14ac:dyDescent="0.3">
      <c r="A38" s="1" t="s">
        <v>57</v>
      </c>
    </row>
    <row r="39" spans="1:1" x14ac:dyDescent="0.3">
      <c r="A39" s="1" t="s">
        <v>58</v>
      </c>
    </row>
    <row r="41" spans="1:1" x14ac:dyDescent="0.3">
      <c r="A41" s="1" t="s">
        <v>48</v>
      </c>
    </row>
    <row r="42" spans="1:1" x14ac:dyDescent="0.3">
      <c r="A42" s="1" t="s">
        <v>49</v>
      </c>
    </row>
    <row r="43" spans="1:1" x14ac:dyDescent="0.3">
      <c r="A43" s="1" t="s">
        <v>50</v>
      </c>
    </row>
    <row r="44" spans="1:1" x14ac:dyDescent="0.3">
      <c r="A44" s="1" t="s">
        <v>51</v>
      </c>
    </row>
    <row r="45" spans="1:1" x14ac:dyDescent="0.3">
      <c r="A45" s="1" t="s">
        <v>52</v>
      </c>
    </row>
    <row r="46" spans="1:1" x14ac:dyDescent="0.3">
      <c r="A46" s="1" t="s">
        <v>53</v>
      </c>
    </row>
    <row r="48" spans="1:1" x14ac:dyDescent="0.3">
      <c r="A48" s="1" t="s">
        <v>23</v>
      </c>
    </row>
    <row r="49" spans="1:1" x14ac:dyDescent="0.3">
      <c r="A49" s="1" t="s">
        <v>24</v>
      </c>
    </row>
    <row r="50" spans="1:1" x14ac:dyDescent="0.3">
      <c r="A50" s="1" t="s">
        <v>25</v>
      </c>
    </row>
    <row r="51" spans="1:1" x14ac:dyDescent="0.3">
      <c r="A51" s="1" t="s">
        <v>16</v>
      </c>
    </row>
  </sheetData>
  <mergeCells count="4">
    <mergeCell ref="A1:I1"/>
    <mergeCell ref="A2:I2"/>
    <mergeCell ref="A4:I4"/>
    <mergeCell ref="A3:I3"/>
  </mergeCells>
  <pageMargins left="0.75" right="0.75" top="1" bottom="1" header="0.5" footer="0.5"/>
  <pageSetup orientation="portrait" horizontalDpi="1200" verticalDpi="1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4"/>
  <dimension ref="A1:DG28"/>
  <sheetViews>
    <sheetView showGridLines="0" zoomScaleNormal="100" workbookViewId="0">
      <selection activeCell="L23" sqref="L23"/>
    </sheetView>
  </sheetViews>
  <sheetFormatPr defaultColWidth="9.109375" defaultRowHeight="14.4" x14ac:dyDescent="0.3"/>
  <cols>
    <col min="1" max="1" width="8" style="2" bestFit="1" customWidth="1"/>
    <col min="2" max="2" width="9.109375" style="2"/>
    <col min="3" max="3" width="7.5546875" style="2" bestFit="1" customWidth="1"/>
    <col min="4" max="4" width="7.5546875" style="47" customWidth="1"/>
    <col min="5" max="5" width="8.109375" style="47" bestFit="1" customWidth="1"/>
    <col min="6" max="6" width="3.44140625" style="47" customWidth="1"/>
    <col min="7" max="7" width="8.88671875" style="2" bestFit="1" customWidth="1"/>
    <col min="8" max="8" width="8.109375" style="2" bestFit="1" customWidth="1"/>
    <col min="9" max="29" width="9.109375" style="2" customWidth="1"/>
    <col min="30" max="35" width="9.109375" style="62"/>
    <col min="36" max="36" width="9.109375" style="2" customWidth="1"/>
    <col min="37" max="37" width="4" style="2" customWidth="1"/>
    <col min="38" max="43" width="9.109375" style="2"/>
    <col min="44" max="46" width="9.109375" style="2" customWidth="1"/>
    <col min="47" max="109" width="9.109375" style="2" hidden="1" customWidth="1"/>
    <col min="110" max="110" width="0" style="2" hidden="1" customWidth="1"/>
    <col min="111" max="16384" width="9.109375" style="2"/>
  </cols>
  <sheetData>
    <row r="1" spans="1:111" x14ac:dyDescent="0.3">
      <c r="E1" s="76" t="s">
        <v>14</v>
      </c>
      <c r="F1" s="77"/>
      <c r="G1" s="77"/>
      <c r="H1" s="77"/>
      <c r="I1" s="77"/>
      <c r="J1" s="77"/>
      <c r="K1" s="77"/>
      <c r="L1" s="77"/>
      <c r="M1" s="77"/>
      <c r="AK1" s="73" t="s">
        <v>34</v>
      </c>
      <c r="AL1" s="74"/>
      <c r="AM1" s="74"/>
      <c r="AN1" s="74"/>
      <c r="AO1" s="74"/>
      <c r="AP1" s="74"/>
      <c r="AQ1" s="75"/>
      <c r="CY1" s="68"/>
    </row>
    <row r="2" spans="1:111" x14ac:dyDescent="0.3">
      <c r="A2" s="4" t="s">
        <v>36</v>
      </c>
      <c r="B2" s="56">
        <v>14</v>
      </c>
      <c r="E2" s="69" t="s">
        <v>13</v>
      </c>
      <c r="F2" s="70"/>
      <c r="G2" s="70"/>
      <c r="H2" s="70"/>
      <c r="I2" s="70"/>
      <c r="J2" s="71"/>
      <c r="K2" s="13"/>
      <c r="AK2" s="38"/>
      <c r="AL2" s="21"/>
      <c r="AM2" s="21"/>
      <c r="AN2" s="21"/>
      <c r="AO2" s="21"/>
      <c r="AP2" s="21"/>
      <c r="AQ2" s="26"/>
      <c r="CY2" s="68"/>
    </row>
    <row r="3" spans="1:111" x14ac:dyDescent="0.3">
      <c r="A3" s="4" t="s">
        <v>15</v>
      </c>
      <c r="B3" s="57">
        <v>5</v>
      </c>
      <c r="G3" s="11"/>
      <c r="AK3" s="22" t="s">
        <v>15</v>
      </c>
      <c r="AL3" s="36">
        <f t="array" aca="1" ref="AL3" ca="1">MMULT(MMULT(TRANSPOSE(Ell),MINVERSE(Cov)),ER)</f>
        <v>1.6711217225055135</v>
      </c>
      <c r="AM3" s="21"/>
      <c r="AN3" s="34">
        <f ca="1">MAX(ER_P1,ER_P2,ER_P3,ER_P4,ER_P5)</f>
        <v>0.10000000066194534</v>
      </c>
      <c r="AO3" s="21"/>
      <c r="AP3" s="21"/>
      <c r="AQ3" s="26"/>
      <c r="DF3" s="12"/>
    </row>
    <row r="4" spans="1:111" ht="15.6" x14ac:dyDescent="0.35">
      <c r="A4" s="30" t="s">
        <v>12</v>
      </c>
      <c r="B4" s="43">
        <v>5.5300000000000002E-2</v>
      </c>
      <c r="G4" s="72" t="s">
        <v>99</v>
      </c>
      <c r="H4" s="72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J4" s="10"/>
      <c r="AK4" s="22" t="s">
        <v>26</v>
      </c>
      <c r="AL4" s="36">
        <f t="array" aca="1" ref="AL4" ca="1">MMULT(MMULT(TRANSPOSE(ER),MINVERSE(Cov)),ER)</f>
        <v>0.13597696710963289</v>
      </c>
      <c r="AM4" s="21"/>
      <c r="AN4" s="35">
        <f ca="1">MIN(ER_P0,ER_P0A)</f>
        <v>7.8767485319796701E-2</v>
      </c>
      <c r="AO4" s="21"/>
      <c r="AP4" s="21"/>
      <c r="AQ4" s="26"/>
      <c r="AS4" s="10"/>
      <c r="AT4" s="10"/>
      <c r="AU4" s="10"/>
      <c r="AV4" s="10"/>
      <c r="AW4" s="10"/>
      <c r="BE4" s="10"/>
      <c r="BF4" s="10"/>
      <c r="BG4" s="10"/>
      <c r="BH4" s="10"/>
      <c r="BI4" s="10"/>
      <c r="DF4" s="12"/>
    </row>
    <row r="5" spans="1:111" ht="15.6" x14ac:dyDescent="0.35">
      <c r="A5" s="4" t="s">
        <v>60</v>
      </c>
      <c r="B5" s="43">
        <v>0.08</v>
      </c>
      <c r="G5" s="78" t="s">
        <v>100</v>
      </c>
      <c r="H5" s="78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J5" s="10"/>
      <c r="AK5" s="22" t="s">
        <v>27</v>
      </c>
      <c r="AL5" s="36">
        <f t="array" aca="1" ref="AL5" ca="1">MMULT(MMULT(TRANSPOSE(Ell),MINVERSE(Cov)),Ell)</f>
        <v>21.215784707821904</v>
      </c>
      <c r="AM5" s="21"/>
      <c r="AN5" s="35">
        <f ca="1">AN4-(AN3-AN4)</f>
        <v>5.7534969977648065E-2</v>
      </c>
      <c r="AO5" s="21"/>
      <c r="AP5" s="21"/>
      <c r="AQ5" s="26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</row>
    <row r="6" spans="1:111" ht="15.6" x14ac:dyDescent="0.35">
      <c r="A6" s="4" t="s">
        <v>61</v>
      </c>
      <c r="B6" s="43">
        <v>0.18</v>
      </c>
      <c r="AK6" s="22" t="s">
        <v>28</v>
      </c>
      <c r="AL6" s="37">
        <f ca="1">AL4*AL5-AL3^2</f>
        <v>9.2210247990756944E-2</v>
      </c>
      <c r="AM6" s="21"/>
      <c r="AN6" s="35">
        <f ca="1">(AN3-AN5)/19</f>
        <v>2.2350016149630145E-3</v>
      </c>
      <c r="AO6" s="21"/>
      <c r="AP6" s="21"/>
      <c r="AQ6" s="26"/>
    </row>
    <row r="7" spans="1:111" ht="15.6" x14ac:dyDescent="0.35">
      <c r="G7" s="72" t="s">
        <v>8</v>
      </c>
      <c r="H7" s="72"/>
      <c r="AK7" s="27"/>
      <c r="AL7" s="21"/>
      <c r="AM7" s="21"/>
      <c r="AN7" s="21"/>
      <c r="AO7" s="21"/>
      <c r="AP7" s="67" t="s">
        <v>29</v>
      </c>
      <c r="AQ7" s="67"/>
      <c r="AV7" s="72" t="s">
        <v>2</v>
      </c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72"/>
      <c r="BH7" s="72"/>
      <c r="BI7" s="72"/>
      <c r="BJ7" s="72"/>
      <c r="BK7" s="72"/>
      <c r="BL7" s="72"/>
      <c r="BM7" s="72"/>
      <c r="BN7" s="72"/>
      <c r="BO7" s="72"/>
      <c r="BQ7" s="72" t="s">
        <v>11</v>
      </c>
      <c r="BR7" s="72"/>
      <c r="BS7" s="72"/>
      <c r="BT7" s="72"/>
      <c r="BU7" s="72"/>
      <c r="BV7" s="72"/>
      <c r="BW7" s="72"/>
      <c r="BX7" s="72"/>
      <c r="BY7" s="72"/>
      <c r="BZ7" s="72"/>
      <c r="CA7" s="72"/>
      <c r="CB7" s="72"/>
      <c r="CC7" s="72"/>
      <c r="CD7" s="72"/>
      <c r="CE7" s="72"/>
      <c r="CF7" s="72"/>
      <c r="CG7" s="72"/>
      <c r="CH7" s="72"/>
      <c r="CI7" s="72"/>
      <c r="CJ7" s="72"/>
      <c r="CL7" s="72" t="s">
        <v>9</v>
      </c>
      <c r="CM7" s="72"/>
      <c r="CN7" s="72"/>
      <c r="CO7" s="72"/>
      <c r="CP7" s="72"/>
      <c r="CQ7" s="72"/>
      <c r="CR7" s="72"/>
      <c r="CS7" s="72"/>
      <c r="CT7" s="72"/>
      <c r="CU7" s="72"/>
      <c r="CV7" s="72"/>
      <c r="CW7" s="72"/>
      <c r="CX7" s="72"/>
      <c r="CY7" s="72"/>
      <c r="CZ7" s="72"/>
      <c r="DA7" s="72"/>
      <c r="DB7" s="72"/>
      <c r="DC7" s="72"/>
      <c r="DD7" s="72"/>
      <c r="DE7" s="72"/>
    </row>
    <row r="8" spans="1:111" x14ac:dyDescent="0.3">
      <c r="A8" s="39" t="s">
        <v>84</v>
      </c>
      <c r="B8" s="39" t="s">
        <v>83</v>
      </c>
      <c r="C8" s="44" t="s">
        <v>62</v>
      </c>
      <c r="D8" s="44" t="s">
        <v>63</v>
      </c>
      <c r="E8" s="44" t="s">
        <v>64</v>
      </c>
      <c r="G8" s="5" t="s">
        <v>5</v>
      </c>
      <c r="H8" s="5" t="s">
        <v>6</v>
      </c>
      <c r="AK8" s="27"/>
      <c r="AL8" s="21"/>
      <c r="AM8" s="21"/>
      <c r="AN8" s="40" t="s">
        <v>35</v>
      </c>
      <c r="AO8" s="21"/>
      <c r="AP8" s="23" t="s">
        <v>30</v>
      </c>
      <c r="AQ8" s="24" t="s">
        <v>31</v>
      </c>
      <c r="AS8" s="5" t="s">
        <v>3</v>
      </c>
      <c r="AT8" s="5" t="s">
        <v>1</v>
      </c>
      <c r="AV8" s="5">
        <f t="shared" ref="AV8:BO8" ca="1" si="0">OFFSET($A$8,COLUMN(AV8)-COLUMN($AV$8)+1,0)</f>
        <v>1</v>
      </c>
      <c r="AW8" s="5">
        <f t="shared" ca="1" si="0"/>
        <v>2</v>
      </c>
      <c r="AX8" s="5">
        <f t="shared" ca="1" si="0"/>
        <v>3</v>
      </c>
      <c r="AY8" s="5">
        <f t="shared" ca="1" si="0"/>
        <v>4</v>
      </c>
      <c r="AZ8" s="5">
        <f t="shared" ca="1" si="0"/>
        <v>5</v>
      </c>
      <c r="BA8" s="5">
        <f t="shared" ca="1" si="0"/>
        <v>6</v>
      </c>
      <c r="BB8" s="5">
        <f t="shared" ca="1" si="0"/>
        <v>7</v>
      </c>
      <c r="BC8" s="5">
        <f t="shared" ca="1" si="0"/>
        <v>8</v>
      </c>
      <c r="BD8" s="5">
        <f t="shared" ca="1" si="0"/>
        <v>9</v>
      </c>
      <c r="BE8" s="5">
        <f t="shared" ca="1" si="0"/>
        <v>10</v>
      </c>
      <c r="BF8" s="5">
        <f t="shared" ca="1" si="0"/>
        <v>11</v>
      </c>
      <c r="BG8" s="5">
        <f t="shared" ca="1" si="0"/>
        <v>12</v>
      </c>
      <c r="BH8" s="5">
        <f t="shared" ca="1" si="0"/>
        <v>13</v>
      </c>
      <c r="BI8" s="5">
        <f t="shared" ca="1" si="0"/>
        <v>14</v>
      </c>
      <c r="BJ8" s="5">
        <f t="shared" ca="1" si="0"/>
        <v>15</v>
      </c>
      <c r="BK8" s="5">
        <f t="shared" ca="1" si="0"/>
        <v>16</v>
      </c>
      <c r="BL8" s="5">
        <f t="shared" ca="1" si="0"/>
        <v>17</v>
      </c>
      <c r="BM8" s="5">
        <f t="shared" ca="1" si="0"/>
        <v>18</v>
      </c>
      <c r="BN8" s="5">
        <f t="shared" ca="1" si="0"/>
        <v>19</v>
      </c>
      <c r="BO8" s="5">
        <f t="shared" ca="1" si="0"/>
        <v>20</v>
      </c>
      <c r="BQ8" s="5">
        <f t="shared" ref="BQ8:CJ8" ca="1" si="1">AV8</f>
        <v>1</v>
      </c>
      <c r="BR8" s="5">
        <f t="shared" ca="1" si="1"/>
        <v>2</v>
      </c>
      <c r="BS8" s="5">
        <f t="shared" ca="1" si="1"/>
        <v>3</v>
      </c>
      <c r="BT8" s="5">
        <f t="shared" ca="1" si="1"/>
        <v>4</v>
      </c>
      <c r="BU8" s="5">
        <f t="shared" ca="1" si="1"/>
        <v>5</v>
      </c>
      <c r="BV8" s="5">
        <f t="shared" ca="1" si="1"/>
        <v>6</v>
      </c>
      <c r="BW8" s="5">
        <f t="shared" ca="1" si="1"/>
        <v>7</v>
      </c>
      <c r="BX8" s="5">
        <f t="shared" ca="1" si="1"/>
        <v>8</v>
      </c>
      <c r="BY8" s="5">
        <f t="shared" ca="1" si="1"/>
        <v>9</v>
      </c>
      <c r="BZ8" s="5">
        <f t="shared" ca="1" si="1"/>
        <v>10</v>
      </c>
      <c r="CA8" s="5">
        <f t="shared" ca="1" si="1"/>
        <v>11</v>
      </c>
      <c r="CB8" s="5">
        <f t="shared" ca="1" si="1"/>
        <v>12</v>
      </c>
      <c r="CC8" s="5">
        <f t="shared" ca="1" si="1"/>
        <v>13</v>
      </c>
      <c r="CD8" s="5">
        <f t="shared" ca="1" si="1"/>
        <v>14</v>
      </c>
      <c r="CE8" s="5">
        <f t="shared" ca="1" si="1"/>
        <v>15</v>
      </c>
      <c r="CF8" s="5">
        <f t="shared" ca="1" si="1"/>
        <v>16</v>
      </c>
      <c r="CG8" s="5">
        <f t="shared" ca="1" si="1"/>
        <v>17</v>
      </c>
      <c r="CH8" s="5">
        <f t="shared" ca="1" si="1"/>
        <v>18</v>
      </c>
      <c r="CI8" s="5">
        <f t="shared" ca="1" si="1"/>
        <v>19</v>
      </c>
      <c r="CJ8" s="5">
        <f t="shared" ca="1" si="1"/>
        <v>20</v>
      </c>
      <c r="CL8" s="5">
        <f t="shared" ref="CL8:DD8" ca="1" si="2">BQ8</f>
        <v>1</v>
      </c>
      <c r="CM8" s="5">
        <f t="shared" ca="1" si="2"/>
        <v>2</v>
      </c>
      <c r="CN8" s="5">
        <f t="shared" ca="1" si="2"/>
        <v>3</v>
      </c>
      <c r="CO8" s="5">
        <f t="shared" ca="1" si="2"/>
        <v>4</v>
      </c>
      <c r="CP8" s="5">
        <f t="shared" ca="1" si="2"/>
        <v>5</v>
      </c>
      <c r="CQ8" s="5">
        <f t="shared" ca="1" si="2"/>
        <v>6</v>
      </c>
      <c r="CR8" s="5">
        <f t="shared" ca="1" si="2"/>
        <v>7</v>
      </c>
      <c r="CS8" s="5">
        <f t="shared" ca="1" si="2"/>
        <v>8</v>
      </c>
      <c r="CT8" s="5">
        <f t="shared" ca="1" si="2"/>
        <v>9</v>
      </c>
      <c r="CU8" s="5">
        <f t="shared" ca="1" si="2"/>
        <v>10</v>
      </c>
      <c r="CV8" s="5">
        <f t="shared" ca="1" si="2"/>
        <v>11</v>
      </c>
      <c r="CW8" s="5">
        <f t="shared" ca="1" si="2"/>
        <v>12</v>
      </c>
      <c r="CX8" s="5">
        <f t="shared" ca="1" si="2"/>
        <v>13</v>
      </c>
      <c r="CY8" s="5">
        <f t="shared" ca="1" si="2"/>
        <v>14</v>
      </c>
      <c r="CZ8" s="5">
        <f t="shared" ca="1" si="2"/>
        <v>15</v>
      </c>
      <c r="DA8" s="5">
        <f t="shared" ca="1" si="2"/>
        <v>16</v>
      </c>
      <c r="DB8" s="5">
        <f t="shared" ca="1" si="2"/>
        <v>17</v>
      </c>
      <c r="DC8" s="5">
        <f t="shared" ca="1" si="2"/>
        <v>18</v>
      </c>
      <c r="DD8" s="5">
        <f t="shared" ca="1" si="2"/>
        <v>19</v>
      </c>
      <c r="DE8" s="5">
        <f ca="1">CJ8</f>
        <v>20</v>
      </c>
    </row>
    <row r="9" spans="1:111" x14ac:dyDescent="0.3">
      <c r="A9" s="6">
        <v>1</v>
      </c>
      <c r="B9" s="61" t="s">
        <v>102</v>
      </c>
      <c r="C9" s="60">
        <v>0</v>
      </c>
      <c r="D9" s="59">
        <v>1.1252054987506277</v>
      </c>
      <c r="E9" s="60">
        <v>0.28768507606104565</v>
      </c>
      <c r="G9" s="54">
        <v>0</v>
      </c>
      <c r="H9" s="54">
        <v>1</v>
      </c>
      <c r="AK9" s="27"/>
      <c r="AL9" s="21"/>
      <c r="AM9" s="21"/>
      <c r="AN9" s="33">
        <v>1</v>
      </c>
      <c r="AO9" s="21"/>
      <c r="AP9" s="25">
        <f ca="1">IF(ABS($AL$6)&lt;0.000000001,$AS$9,AN5)</f>
        <v>5.7534969977648065E-2</v>
      </c>
      <c r="AQ9" s="25">
        <f t="shared" ref="AQ9:AQ28" ca="1" si="3">IF(ABS($AL$6)&lt;0.00000001,$AT$9,SQRT(($AL$5*AP9^2-2*$AL$3*AP9+$AL$4)/$AL$6))</f>
        <v>0.38841101319225529</v>
      </c>
      <c r="AS9" s="45">
        <f t="shared" ref="AS9:AS28" si="4">rf+C9+D9*(ER_M-rf)</f>
        <v>8.3092575819140507E-2</v>
      </c>
      <c r="AT9" s="45">
        <f t="shared" ref="AT9:AT28" si="5">SQRT(D9^2*sigma_M^2+E9^2)</f>
        <v>0.35182941209542706</v>
      </c>
      <c r="AV9" s="46">
        <f t="shared" ref="AV9:BE18" ca="1" si="6">IF($A9=AV$8,1,(OFFSET($D$8,$A9,0)*OFFSET($D$8,AV$8,0)*sigma_M^2)/(OFFSET($AT$8,$A9,0)*OFFSET($AT$8,AV$8,0)))</f>
        <v>1</v>
      </c>
      <c r="AW9" s="46">
        <f t="shared" ca="1" si="6"/>
        <v>0.29595348710229424</v>
      </c>
      <c r="AX9" s="46">
        <f t="shared" ca="1" si="6"/>
        <v>0.26903498704092227</v>
      </c>
      <c r="AY9" s="46">
        <f t="shared" ca="1" si="6"/>
        <v>0.20266919738990408</v>
      </c>
      <c r="AZ9" s="46">
        <f t="shared" ca="1" si="6"/>
        <v>0.40223915182101094</v>
      </c>
      <c r="BA9" s="46">
        <f t="shared" ca="1" si="6"/>
        <v>0.30648947719787584</v>
      </c>
      <c r="BB9" s="46">
        <f t="shared" ca="1" si="6"/>
        <v>0.30773931803590016</v>
      </c>
      <c r="BC9" s="46">
        <f t="shared" ca="1" si="6"/>
        <v>9.1203010906957177E-2</v>
      </c>
      <c r="BD9" s="46">
        <f t="shared" ca="1" si="6"/>
        <v>0.2568433200174296</v>
      </c>
      <c r="BE9" s="46">
        <f t="shared" ca="1" si="6"/>
        <v>0.33285829369647613</v>
      </c>
      <c r="BF9" s="46">
        <f t="shared" ref="BF9:BO18" ca="1" si="7">IF($A9=BF$8,1,(OFFSET($D$8,$A9,0)*OFFSET($D$8,BF$8,0)*sigma_M^2)/(OFFSET($AT$8,$A9,0)*OFFSET($AT$8,BF$8,0)))</f>
        <v>0.29621347357579558</v>
      </c>
      <c r="BG9" s="46">
        <f t="shared" ca="1" si="7"/>
        <v>0.35963185280005583</v>
      </c>
      <c r="BH9" s="46">
        <f t="shared" ca="1" si="7"/>
        <v>0.36247546044477508</v>
      </c>
      <c r="BI9" s="46">
        <f t="shared" ca="1" si="7"/>
        <v>0.26449032232047781</v>
      </c>
      <c r="BJ9" s="46">
        <f t="shared" ca="1" si="7"/>
        <v>0.35405422298703321</v>
      </c>
      <c r="BK9" s="46">
        <f t="shared" ca="1" si="7"/>
        <v>0.41742836452007293</v>
      </c>
      <c r="BL9" s="46">
        <f t="shared" ca="1" si="7"/>
        <v>0.44810760100485231</v>
      </c>
      <c r="BM9" s="46">
        <f t="shared" ca="1" si="7"/>
        <v>0.53282526703014832</v>
      </c>
      <c r="BN9" s="46">
        <f t="shared" ca="1" si="7"/>
        <v>0.38001565893112627</v>
      </c>
      <c r="BO9" s="46">
        <f t="shared" ca="1" si="7"/>
        <v>0.36117678995957597</v>
      </c>
      <c r="BQ9" s="7">
        <f t="shared" ref="BQ9:BZ18" ca="1" si="8">OFFSET($AT$8,BQ$8,0)*OFFSET($AT$8,$A9,0)</f>
        <v>0.12378393521541384</v>
      </c>
      <c r="BR9" s="7">
        <f t="shared" ca="1" si="8"/>
        <v>0.21812361970642283</v>
      </c>
      <c r="BS9" s="7">
        <f t="shared" ca="1" si="8"/>
        <v>0.27842420287730513</v>
      </c>
      <c r="BT9" s="7">
        <f t="shared" ca="1" si="8"/>
        <v>0.17503075072846899</v>
      </c>
      <c r="BU9" s="7">
        <f t="shared" ca="1" si="8"/>
        <v>0.12446364820654153</v>
      </c>
      <c r="BV9" s="7">
        <f t="shared" ca="1" si="8"/>
        <v>0.2078249968430155</v>
      </c>
      <c r="BW9" s="7">
        <f t="shared" ca="1" si="8"/>
        <v>0.11214042422265236</v>
      </c>
      <c r="BX9" s="7">
        <f t="shared" ca="1" si="8"/>
        <v>0.2613497894168314</v>
      </c>
      <c r="BY9" s="7">
        <f t="shared" ca="1" si="8"/>
        <v>0.1540250399426793</v>
      </c>
      <c r="BZ9" s="7">
        <f t="shared" ca="1" si="8"/>
        <v>0.13731379458343923</v>
      </c>
      <c r="CA9" s="7">
        <f t="shared" ref="CA9:CJ18" ca="1" si="9">OFFSET($AT$8,CA$8,0)*OFFSET($AT$8,$A9,0)</f>
        <v>0.245474849854181</v>
      </c>
      <c r="CB9" s="7">
        <f t="shared" ca="1" si="9"/>
        <v>0.10705888812148061</v>
      </c>
      <c r="CC9" s="7">
        <f t="shared" ca="1" si="9"/>
        <v>0.15562696337379095</v>
      </c>
      <c r="CD9" s="7">
        <f t="shared" ca="1" si="9"/>
        <v>0.15087929082037571</v>
      </c>
      <c r="CE9" s="7">
        <f t="shared" ca="1" si="9"/>
        <v>6.6929939724390985E-2</v>
      </c>
      <c r="CF9" s="7">
        <f t="shared" ca="1" si="9"/>
        <v>0.10218349703111194</v>
      </c>
      <c r="CG9" s="7">
        <f t="shared" ca="1" si="9"/>
        <v>0.10088259162851312</v>
      </c>
      <c r="CH9" s="7">
        <f t="shared" ca="1" si="9"/>
        <v>0.11152690474165482</v>
      </c>
      <c r="CI9" s="7">
        <f t="shared" ca="1" si="9"/>
        <v>7.9625735311833548E-2</v>
      </c>
      <c r="CJ9" s="7">
        <f t="shared" ca="1" si="9"/>
        <v>9.4882228378475361E-2</v>
      </c>
      <c r="CK9" s="41"/>
      <c r="CL9" s="7">
        <f t="shared" ref="CL9:DA24" ca="1" si="10">AV9*BQ9</f>
        <v>0.12378393521541384</v>
      </c>
      <c r="CM9" s="7">
        <f t="shared" ca="1" si="10"/>
        <v>6.4554445871490548E-2</v>
      </c>
      <c r="CN9" s="7">
        <f t="shared" ca="1" si="10"/>
        <v>7.4905851812974891E-2</v>
      </c>
      <c r="CO9" s="7">
        <f t="shared" ca="1" si="10"/>
        <v>3.5473341768691179E-2</v>
      </c>
      <c r="CP9" s="7">
        <f t="shared" ca="1" si="10"/>
        <v>5.0064152287147952E-2</v>
      </c>
      <c r="CQ9" s="7">
        <f t="shared" ca="1" si="10"/>
        <v>6.3696174631066013E-2</v>
      </c>
      <c r="CR9" s="7">
        <f t="shared" ca="1" si="10"/>
        <v>3.4510017674535577E-2</v>
      </c>
      <c r="CS9" s="7">
        <f t="shared" ca="1" si="10"/>
        <v>2.3835887694714234E-2</v>
      </c>
      <c r="CT9" s="7">
        <f t="shared" ca="1" si="10"/>
        <v>3.9560302624694954E-2</v>
      </c>
      <c r="CU9" s="7">
        <f t="shared" ca="1" si="10"/>
        <v>4.5706035366032009E-2</v>
      </c>
      <c r="CV9" s="7">
        <f t="shared" ca="1" si="10"/>
        <v>7.2712957950803833E-2</v>
      </c>
      <c r="CW9" s="7">
        <f t="shared" ca="1" si="10"/>
        <v>3.8501786293841961E-2</v>
      </c>
      <c r="CX9" s="7">
        <f t="shared" ca="1" si="10"/>
        <v>5.6410955206537022E-2</v>
      </c>
      <c r="CY9" s="7">
        <f t="shared" ca="1" si="10"/>
        <v>3.9906112260566277E-2</v>
      </c>
      <c r="CZ9" s="7">
        <f t="shared" ca="1" si="10"/>
        <v>2.3696827803688217E-2</v>
      </c>
      <c r="DA9" s="7">
        <f t="shared" ca="1" si="10"/>
        <v>4.2654290046638788E-2</v>
      </c>
      <c r="DB9" s="7">
        <f t="shared" ref="DB9:DE28" ca="1" si="11">BL9*CG9</f>
        <v>4.520625611780521E-2</v>
      </c>
      <c r="DC9" s="7">
        <f t="shared" ca="1" si="11"/>
        <v>5.9424352800018142E-2</v>
      </c>
      <c r="DD9" s="7">
        <f t="shared" ca="1" si="11"/>
        <v>3.0259026272401873E-2</v>
      </c>
      <c r="DE9" s="7">
        <f t="shared" ca="1" si="11"/>
        <v>3.4269258669949114E-2</v>
      </c>
      <c r="DG9" s="41"/>
    </row>
    <row r="10" spans="1:111" x14ac:dyDescent="0.3">
      <c r="A10" s="6">
        <v>2</v>
      </c>
      <c r="B10" s="61" t="s">
        <v>103</v>
      </c>
      <c r="C10" s="60">
        <v>0</v>
      </c>
      <c r="D10" s="59">
        <v>1.7707175898850926</v>
      </c>
      <c r="E10" s="60">
        <v>0.5317652723357974</v>
      </c>
      <c r="G10" s="54">
        <v>0</v>
      </c>
      <c r="H10" s="54">
        <v>1</v>
      </c>
      <c r="AK10" s="27"/>
      <c r="AL10" s="21"/>
      <c r="AM10" s="21"/>
      <c r="AN10" s="33">
        <v>1</v>
      </c>
      <c r="AO10" s="21"/>
      <c r="AP10" s="25">
        <f t="shared" ref="AP10:AP28" ca="1" si="12">IF(ABS($AL$6)&lt;0.000000001,$AS$9,AP9+$AN$6)</f>
        <v>5.9769971592611076E-2</v>
      </c>
      <c r="AQ10" s="25">
        <f t="shared" ca="1" si="3"/>
        <v>0.36079805600469628</v>
      </c>
      <c r="AS10" s="45">
        <f t="shared" si="4"/>
        <v>9.9036724470161791E-2</v>
      </c>
      <c r="AT10" s="45">
        <f t="shared" si="5"/>
        <v>0.61996982687524982</v>
      </c>
      <c r="AV10" s="46">
        <f t="shared" ca="1" si="6"/>
        <v>0.29595348710229424</v>
      </c>
      <c r="AW10" s="46">
        <f t="shared" ca="1" si="6"/>
        <v>1</v>
      </c>
      <c r="AX10" s="46">
        <f t="shared" ca="1" si="6"/>
        <v>0.24026350421413423</v>
      </c>
      <c r="AY10" s="46">
        <f t="shared" ca="1" si="6"/>
        <v>0.18099508951137905</v>
      </c>
      <c r="AZ10" s="46">
        <f t="shared" ca="1" si="6"/>
        <v>0.35922237925856482</v>
      </c>
      <c r="BA10" s="46">
        <f t="shared" ca="1" si="6"/>
        <v>0.27371248849919549</v>
      </c>
      <c r="BB10" s="46">
        <f t="shared" ca="1" si="6"/>
        <v>0.27482866726373661</v>
      </c>
      <c r="BC10" s="46">
        <f t="shared" ca="1" si="6"/>
        <v>8.1449462155092647E-2</v>
      </c>
      <c r="BD10" s="46">
        <f t="shared" ca="1" si="6"/>
        <v>0.22937565399995113</v>
      </c>
      <c r="BE10" s="46">
        <f t="shared" ca="1" si="6"/>
        <v>0.2972613373816998</v>
      </c>
      <c r="BF10" s="46">
        <f t="shared" ca="1" si="7"/>
        <v>0.26453543436689192</v>
      </c>
      <c r="BG10" s="46">
        <f t="shared" ca="1" si="7"/>
        <v>0.32117164436913948</v>
      </c>
      <c r="BH10" s="46">
        <f t="shared" ca="1" si="7"/>
        <v>0.32371114729715988</v>
      </c>
      <c r="BI10" s="46">
        <f t="shared" ca="1" si="7"/>
        <v>0.23620486082643896</v>
      </c>
      <c r="BJ10" s="46">
        <f t="shared" ca="1" si="7"/>
        <v>0.31619050455968339</v>
      </c>
      <c r="BK10" s="46">
        <f t="shared" ca="1" si="7"/>
        <v>0.37278720779432462</v>
      </c>
      <c r="BL10" s="46">
        <f t="shared" ca="1" si="7"/>
        <v>0.40018550622948695</v>
      </c>
      <c r="BM10" s="46">
        <f t="shared" ca="1" si="7"/>
        <v>0.47584318752944454</v>
      </c>
      <c r="BN10" s="46">
        <f t="shared" ca="1" si="7"/>
        <v>0.33937553949868854</v>
      </c>
      <c r="BO10" s="46">
        <f t="shared" ca="1" si="7"/>
        <v>0.32255136088787045</v>
      </c>
      <c r="BQ10" s="7">
        <f t="shared" ca="1" si="8"/>
        <v>0.21812361970642283</v>
      </c>
      <c r="BR10" s="7">
        <f t="shared" ca="1" si="8"/>
        <v>0.38436258623572722</v>
      </c>
      <c r="BS10" s="7">
        <f t="shared" ca="1" si="8"/>
        <v>0.49062016682364196</v>
      </c>
      <c r="BT10" s="7">
        <f t="shared" ca="1" si="8"/>
        <v>0.30842726758029432</v>
      </c>
      <c r="BU10" s="7">
        <f t="shared" ca="1" si="8"/>
        <v>0.21932136364410135</v>
      </c>
      <c r="BV10" s="7">
        <f t="shared" ca="1" si="8"/>
        <v>0.36621505446556252</v>
      </c>
      <c r="BW10" s="7">
        <f t="shared" ca="1" si="8"/>
        <v>0.19760621767510975</v>
      </c>
      <c r="BX10" s="7">
        <f t="shared" ca="1" si="8"/>
        <v>0.46053279836277211</v>
      </c>
      <c r="BY10" s="7">
        <f t="shared" ca="1" si="8"/>
        <v>0.27141243473361526</v>
      </c>
      <c r="BZ10" s="7">
        <f t="shared" ca="1" si="8"/>
        <v>0.24196501636534135</v>
      </c>
      <c r="CA10" s="7">
        <f t="shared" ca="1" si="9"/>
        <v>0.4325590611084178</v>
      </c>
      <c r="CB10" s="7">
        <f t="shared" ca="1" si="9"/>
        <v>0.18865188086130949</v>
      </c>
      <c r="CC10" s="7">
        <f t="shared" ca="1" si="9"/>
        <v>0.27423523509683312</v>
      </c>
      <c r="CD10" s="7">
        <f t="shared" ca="1" si="9"/>
        <v>0.26586920988742602</v>
      </c>
      <c r="CE10" s="7">
        <f t="shared" ca="1" si="9"/>
        <v>0.11793938118069269</v>
      </c>
      <c r="CF10" s="7">
        <f t="shared" ca="1" si="9"/>
        <v>0.1800607987449992</v>
      </c>
      <c r="CG10" s="7">
        <f t="shared" ca="1" si="9"/>
        <v>0.17776843184927327</v>
      </c>
      <c r="CH10" s="7">
        <f t="shared" ca="1" si="9"/>
        <v>0.19652511543253923</v>
      </c>
      <c r="CI10" s="7">
        <f t="shared" ca="1" si="9"/>
        <v>0.14031104745359504</v>
      </c>
      <c r="CJ10" s="7">
        <f t="shared" ca="1" si="9"/>
        <v>0.1671950004151056</v>
      </c>
      <c r="CK10" s="41"/>
      <c r="CL10" s="7">
        <f t="shared" ca="1" si="10"/>
        <v>6.4554445871490548E-2</v>
      </c>
      <c r="CM10" s="7">
        <f t="shared" ca="1" si="10"/>
        <v>0.38436258623572722</v>
      </c>
      <c r="CN10" s="7">
        <f t="shared" ca="1" si="10"/>
        <v>0.11787812051917133</v>
      </c>
      <c r="CO10" s="7">
        <f t="shared" ca="1" si="10"/>
        <v>5.5823820903445426E-2</v>
      </c>
      <c r="CP10" s="7">
        <f t="shared" ca="1" si="10"/>
        <v>7.8785142070466982E-2</v>
      </c>
      <c r="CQ10" s="7">
        <f t="shared" ca="1" si="10"/>
        <v>0.10023763388363753</v>
      </c>
      <c r="CR10" s="7">
        <f t="shared" ca="1" si="10"/>
        <v>5.4307853446678246E-2</v>
      </c>
      <c r="CS10" s="7">
        <f t="shared" ca="1" si="10"/>
        <v>3.7510148731427523E-2</v>
      </c>
      <c r="CT10" s="7">
        <f t="shared" ca="1" si="10"/>
        <v>6.2255404720742057E-2</v>
      </c>
      <c r="CU10" s="7">
        <f t="shared" ca="1" si="10"/>
        <v>7.1926844364346251E-2</v>
      </c>
      <c r="CV10" s="7">
        <f t="shared" ca="1" si="10"/>
        <v>0.11442719911965024</v>
      </c>
      <c r="CW10" s="7">
        <f t="shared" ca="1" si="10"/>
        <v>6.0589634789557763E-2</v>
      </c>
      <c r="CX10" s="7">
        <f t="shared" ca="1" si="10"/>
        <v>8.8773002582502217E-2</v>
      </c>
      <c r="CY10" s="7">
        <f t="shared" ca="1" si="10"/>
        <v>6.2799599719494753E-2</v>
      </c>
      <c r="CZ10" s="7">
        <f t="shared" ca="1" si="10"/>
        <v>3.7291312442980049E-2</v>
      </c>
      <c r="DA10" s="7">
        <f t="shared" ca="1" si="10"/>
        <v>6.7124362397364079E-2</v>
      </c>
      <c r="DB10" s="7">
        <f t="shared" ca="1" si="11"/>
        <v>7.1140349891223476E-2</v>
      </c>
      <c r="DC10" s="7">
        <f t="shared" ca="1" si="11"/>
        <v>9.3515137357011502E-2</v>
      </c>
      <c r="DD10" s="7">
        <f t="shared" ca="1" si="11"/>
        <v>4.7618137427189906E-2</v>
      </c>
      <c r="DE10" s="7">
        <f t="shared" ca="1" si="11"/>
        <v>5.3928974917540375E-2</v>
      </c>
      <c r="DG10" s="41"/>
    </row>
    <row r="11" spans="1:111" x14ac:dyDescent="0.3">
      <c r="A11" s="6">
        <v>3</v>
      </c>
      <c r="B11" s="61" t="s">
        <v>104</v>
      </c>
      <c r="C11" s="60">
        <v>0</v>
      </c>
      <c r="D11" s="59">
        <v>2.0546549133827803</v>
      </c>
      <c r="E11" s="60">
        <v>0.69962328799604367</v>
      </c>
      <c r="G11" s="54">
        <v>0</v>
      </c>
      <c r="H11" s="54">
        <v>1</v>
      </c>
      <c r="AK11" s="27"/>
      <c r="AL11" s="21"/>
      <c r="AM11" s="21"/>
      <c r="AN11" s="33">
        <v>1</v>
      </c>
      <c r="AO11" s="21"/>
      <c r="AP11" s="25">
        <f t="shared" ca="1" si="12"/>
        <v>6.2004973207574088E-2</v>
      </c>
      <c r="AQ11" s="25">
        <f t="shared" ca="1" si="3"/>
        <v>0.334344090469189</v>
      </c>
      <c r="AS11" s="45">
        <f t="shared" si="4"/>
        <v>0.10604997636055467</v>
      </c>
      <c r="AT11" s="45">
        <f t="shared" si="5"/>
        <v>0.79136136236895349</v>
      </c>
      <c r="AV11" s="46">
        <f t="shared" ca="1" si="6"/>
        <v>0.26903498704092227</v>
      </c>
      <c r="AW11" s="46">
        <f t="shared" ca="1" si="6"/>
        <v>0.24026350421413423</v>
      </c>
      <c r="AX11" s="46">
        <f t="shared" ca="1" si="6"/>
        <v>1</v>
      </c>
      <c r="AY11" s="46">
        <f t="shared" ca="1" si="6"/>
        <v>0.1645326501739568</v>
      </c>
      <c r="AZ11" s="46">
        <f t="shared" ca="1" si="6"/>
        <v>0.32654924628488369</v>
      </c>
      <c r="BA11" s="46">
        <f t="shared" ca="1" si="6"/>
        <v>0.24881692227152943</v>
      </c>
      <c r="BB11" s="46">
        <f t="shared" ca="1" si="6"/>
        <v>0.24983157880554713</v>
      </c>
      <c r="BC11" s="46">
        <f t="shared" ca="1" si="6"/>
        <v>7.4041212387578464E-2</v>
      </c>
      <c r="BD11" s="46">
        <f t="shared" ca="1" si="6"/>
        <v>0.20851275214084658</v>
      </c>
      <c r="BE11" s="46">
        <f t="shared" ca="1" si="6"/>
        <v>0.2702238815743721</v>
      </c>
      <c r="BF11" s="46">
        <f t="shared" ca="1" si="7"/>
        <v>0.24047456866815814</v>
      </c>
      <c r="BG11" s="46">
        <f t="shared" ca="1" si="7"/>
        <v>0.29195942249836493</v>
      </c>
      <c r="BH11" s="46">
        <f t="shared" ca="1" si="7"/>
        <v>0.29426794450302102</v>
      </c>
      <c r="BI11" s="46">
        <f t="shared" ca="1" si="7"/>
        <v>0.21472080729185372</v>
      </c>
      <c r="BJ11" s="46">
        <f t="shared" ca="1" si="7"/>
        <v>0.28743134311262397</v>
      </c>
      <c r="BK11" s="46">
        <f t="shared" ca="1" si="7"/>
        <v>0.33888028352003235</v>
      </c>
      <c r="BL11" s="46">
        <f t="shared" ca="1" si="7"/>
        <v>0.36378656503277373</v>
      </c>
      <c r="BM11" s="46">
        <f t="shared" ca="1" si="7"/>
        <v>0.43256278898395462</v>
      </c>
      <c r="BN11" s="46">
        <f t="shared" ca="1" si="7"/>
        <v>0.30850757923145233</v>
      </c>
      <c r="BO11" s="46">
        <f t="shared" ca="1" si="7"/>
        <v>0.29321364666504507</v>
      </c>
      <c r="BQ11" s="7">
        <f t="shared" ca="1" si="8"/>
        <v>0.27842420287730513</v>
      </c>
      <c r="BR11" s="7">
        <f t="shared" ca="1" si="8"/>
        <v>0.49062016682364196</v>
      </c>
      <c r="BS11" s="7">
        <f t="shared" ca="1" si="8"/>
        <v>0.62625280585044607</v>
      </c>
      <c r="BT11" s="7">
        <f t="shared" ca="1" si="8"/>
        <v>0.3936924219268314</v>
      </c>
      <c r="BU11" s="7">
        <f t="shared" ca="1" si="8"/>
        <v>0.27995306482058346</v>
      </c>
      <c r="BV11" s="7">
        <f t="shared" ca="1" si="8"/>
        <v>0.46745572422866194</v>
      </c>
      <c r="BW11" s="7">
        <f t="shared" ca="1" si="8"/>
        <v>0.25223473603565738</v>
      </c>
      <c r="BX11" s="7">
        <f t="shared" ca="1" si="8"/>
        <v>0.58784774182451305</v>
      </c>
      <c r="BY11" s="7">
        <f t="shared" ca="1" si="8"/>
        <v>0.34644478618777602</v>
      </c>
      <c r="BZ11" s="7">
        <f t="shared" ca="1" si="8"/>
        <v>0.30885658736265009</v>
      </c>
      <c r="CA11" s="7">
        <f t="shared" ca="1" si="9"/>
        <v>0.55214062534154995</v>
      </c>
      <c r="CB11" s="7">
        <f t="shared" ca="1" si="9"/>
        <v>0.24080496014511985</v>
      </c>
      <c r="CC11" s="7">
        <f t="shared" ca="1" si="9"/>
        <v>0.35004795370383185</v>
      </c>
      <c r="CD11" s="7">
        <f t="shared" ca="1" si="9"/>
        <v>0.33936912899280025</v>
      </c>
      <c r="CE11" s="7">
        <f t="shared" ca="1" si="9"/>
        <v>0.15054388991560497</v>
      </c>
      <c r="CF11" s="7">
        <f t="shared" ca="1" si="9"/>
        <v>0.22983886122696251</v>
      </c>
      <c r="CG11" s="7">
        <f t="shared" ca="1" si="9"/>
        <v>0.22691276626070508</v>
      </c>
      <c r="CH11" s="7">
        <f t="shared" ca="1" si="9"/>
        <v>0.25085476154907177</v>
      </c>
      <c r="CI11" s="7">
        <f t="shared" ca="1" si="9"/>
        <v>0.17910023497100713</v>
      </c>
      <c r="CJ11" s="7">
        <f t="shared" ca="1" si="9"/>
        <v>0.21341629475203383</v>
      </c>
      <c r="CK11" s="41"/>
      <c r="CL11" s="7">
        <f t="shared" ca="1" si="10"/>
        <v>7.4905851812974891E-2</v>
      </c>
      <c r="CM11" s="7">
        <f t="shared" ca="1" si="10"/>
        <v>0.11787812051917133</v>
      </c>
      <c r="CN11" s="7">
        <f t="shared" ca="1" si="10"/>
        <v>0.62625280585044607</v>
      </c>
      <c r="CO11" s="7">
        <f t="shared" ca="1" si="10"/>
        <v>6.4775257533025155E-2</v>
      </c>
      <c r="CP11" s="7">
        <f t="shared" ca="1" si="10"/>
        <v>9.1418462312304716E-2</v>
      </c>
      <c r="CQ11" s="7">
        <f t="shared" ca="1" si="10"/>
        <v>0.11631089460078448</v>
      </c>
      <c r="CR11" s="7">
        <f t="shared" ca="1" si="10"/>
        <v>6.3016202333388713E-2</v>
      </c>
      <c r="CS11" s="7">
        <f t="shared" ca="1" si="10"/>
        <v>4.352495950398716E-2</v>
      </c>
      <c r="CT11" s="7">
        <f t="shared" ca="1" si="10"/>
        <v>7.2238155832860335E-2</v>
      </c>
      <c r="CU11" s="7">
        <f t="shared" ca="1" si="10"/>
        <v>8.3460425886949477E-2</v>
      </c>
      <c r="CV11" s="7">
        <f t="shared" ca="1" si="10"/>
        <v>0.13277577872317634</v>
      </c>
      <c r="CW11" s="7">
        <f t="shared" ca="1" si="10"/>
        <v>7.0305277098710969E-2</v>
      </c>
      <c r="CX11" s="7">
        <f t="shared" ca="1" si="10"/>
        <v>0.10300789181391526</v>
      </c>
      <c r="CY11" s="7">
        <f t="shared" ca="1" si="10"/>
        <v>7.2869613347267312E-2</v>
      </c>
      <c r="CZ11" s="7">
        <f t="shared" ca="1" si="10"/>
        <v>4.3271032475841346E-2</v>
      </c>
      <c r="DA11" s="7">
        <f t="shared" ca="1" si="10"/>
        <v>7.7887858456514428E-2</v>
      </c>
      <c r="DB11" s="7">
        <f t="shared" ca="1" si="11"/>
        <v>8.2547815800066579E-2</v>
      </c>
      <c r="DC11" s="7">
        <f t="shared" ca="1" si="11"/>
        <v>0.10851043528557139</v>
      </c>
      <c r="DD11" s="7">
        <f t="shared" ca="1" si="11"/>
        <v>5.5253779930689716E-2</v>
      </c>
      <c r="DE11" s="7">
        <f t="shared" ca="1" si="11"/>
        <v>6.2576570041985954E-2</v>
      </c>
      <c r="DG11" s="41"/>
    </row>
    <row r="12" spans="1:111" x14ac:dyDescent="0.3">
      <c r="A12" s="6">
        <v>4</v>
      </c>
      <c r="B12" s="61" t="s">
        <v>105</v>
      </c>
      <c r="C12" s="60">
        <v>0</v>
      </c>
      <c r="D12" s="59">
        <v>0.97302779682859175</v>
      </c>
      <c r="E12" s="60">
        <v>0.46563729006656029</v>
      </c>
      <c r="G12" s="54">
        <v>0</v>
      </c>
      <c r="H12" s="54">
        <v>1</v>
      </c>
      <c r="AK12" s="27"/>
      <c r="AL12" s="21"/>
      <c r="AM12" s="21"/>
      <c r="AN12" s="33">
        <v>1</v>
      </c>
      <c r="AO12" s="21"/>
      <c r="AP12" s="25">
        <f t="shared" ca="1" si="12"/>
        <v>6.4239974822537099E-2</v>
      </c>
      <c r="AQ12" s="25">
        <f t="shared" ca="1" si="3"/>
        <v>0.30934659528389652</v>
      </c>
      <c r="AS12" s="45">
        <f t="shared" si="4"/>
        <v>7.9333786581666219E-2</v>
      </c>
      <c r="AT12" s="45">
        <f t="shared" si="5"/>
        <v>0.49748754570011677</v>
      </c>
      <c r="AV12" s="46">
        <f t="shared" ca="1" si="6"/>
        <v>0.20266919738990408</v>
      </c>
      <c r="AW12" s="46">
        <f t="shared" ca="1" si="6"/>
        <v>0.18099508951137905</v>
      </c>
      <c r="AX12" s="46">
        <f t="shared" ca="1" si="6"/>
        <v>0.1645326501739568</v>
      </c>
      <c r="AY12" s="46">
        <f t="shared" ca="1" si="6"/>
        <v>1</v>
      </c>
      <c r="AZ12" s="46">
        <f t="shared" ca="1" si="6"/>
        <v>0.24599578805997002</v>
      </c>
      <c r="BA12" s="46">
        <f t="shared" ca="1" si="6"/>
        <v>0.18743854280234046</v>
      </c>
      <c r="BB12" s="46">
        <f t="shared" ca="1" si="6"/>
        <v>0.18820290296098596</v>
      </c>
      <c r="BC12" s="46">
        <f t="shared" ca="1" si="6"/>
        <v>5.5776660327392452E-2</v>
      </c>
      <c r="BD12" s="46">
        <f t="shared" ca="1" si="6"/>
        <v>0.15707664117127434</v>
      </c>
      <c r="BE12" s="46">
        <f t="shared" ca="1" si="6"/>
        <v>0.20356481436346474</v>
      </c>
      <c r="BF12" s="46">
        <f t="shared" ca="1" si="7"/>
        <v>0.18115408839834554</v>
      </c>
      <c r="BG12" s="46">
        <f t="shared" ca="1" si="7"/>
        <v>0.21993861273947665</v>
      </c>
      <c r="BH12" s="46">
        <f t="shared" ca="1" si="7"/>
        <v>0.22167766648481504</v>
      </c>
      <c r="BI12" s="46">
        <f t="shared" ca="1" si="7"/>
        <v>0.16175328776153919</v>
      </c>
      <c r="BJ12" s="46">
        <f t="shared" ca="1" si="7"/>
        <v>0.21652752399998015</v>
      </c>
      <c r="BK12" s="46">
        <f t="shared" ca="1" si="7"/>
        <v>0.25528499407335914</v>
      </c>
      <c r="BL12" s="46">
        <f t="shared" ca="1" si="7"/>
        <v>0.27404737193236423</v>
      </c>
      <c r="BM12" s="46">
        <f t="shared" ca="1" si="7"/>
        <v>0.32585781584899104</v>
      </c>
      <c r="BN12" s="46">
        <f t="shared" ca="1" si="7"/>
        <v>0.23240465546598282</v>
      </c>
      <c r="BO12" s="46">
        <f t="shared" ca="1" si="7"/>
        <v>0.2208834437742945</v>
      </c>
      <c r="BQ12" s="7">
        <f t="shared" ca="1" si="8"/>
        <v>0.17503075072846899</v>
      </c>
      <c r="BR12" s="7">
        <f t="shared" ca="1" si="8"/>
        <v>0.30842726758029432</v>
      </c>
      <c r="BS12" s="7">
        <f t="shared" ca="1" si="8"/>
        <v>0.3936924219268314</v>
      </c>
      <c r="BT12" s="7">
        <f t="shared" ca="1" si="8"/>
        <v>0.24749385812672578</v>
      </c>
      <c r="BU12" s="7">
        <f t="shared" ca="1" si="8"/>
        <v>0.17599186636039599</v>
      </c>
      <c r="BV12" s="7">
        <f t="shared" ca="1" si="8"/>
        <v>0.29386499269288957</v>
      </c>
      <c r="BW12" s="7">
        <f t="shared" ca="1" si="8"/>
        <v>0.15856680113249225</v>
      </c>
      <c r="BX12" s="7">
        <f t="shared" ca="1" si="8"/>
        <v>0.36954916455636411</v>
      </c>
      <c r="BY12" s="7">
        <f t="shared" ca="1" si="8"/>
        <v>0.21779173787967093</v>
      </c>
      <c r="BZ12" s="7">
        <f t="shared" ca="1" si="8"/>
        <v>0.19416200098574152</v>
      </c>
      <c r="CA12" s="7">
        <f t="shared" ca="1" si="9"/>
        <v>0.34710196585821046</v>
      </c>
      <c r="CB12" s="7">
        <f t="shared" ca="1" si="9"/>
        <v>0.15138149815198759</v>
      </c>
      <c r="CC12" s="7">
        <f t="shared" ca="1" si="9"/>
        <v>0.22005686105796593</v>
      </c>
      <c r="CD12" s="7">
        <f t="shared" ca="1" si="9"/>
        <v>0.21334364185233073</v>
      </c>
      <c r="CE12" s="7">
        <f t="shared" ca="1" si="9"/>
        <v>9.463907877694118E-2</v>
      </c>
      <c r="CF12" s="7">
        <f t="shared" ca="1" si="9"/>
        <v>0.14448768466030071</v>
      </c>
      <c r="CG12" s="7">
        <f t="shared" ca="1" si="9"/>
        <v>0.14264820162199413</v>
      </c>
      <c r="CH12" s="7">
        <f t="shared" ca="1" si="9"/>
        <v>0.15769928326631144</v>
      </c>
      <c r="CI12" s="7">
        <f t="shared" ca="1" si="9"/>
        <v>0.11259096105389554</v>
      </c>
      <c r="CJ12" s="7">
        <f t="shared" ca="1" si="9"/>
        <v>0.13416367507604177</v>
      </c>
      <c r="CK12" s="41"/>
      <c r="CL12" s="7">
        <f t="shared" ca="1" si="10"/>
        <v>3.5473341768691179E-2</v>
      </c>
      <c r="CM12" s="7">
        <f t="shared" ca="1" si="10"/>
        <v>5.5823820903445426E-2</v>
      </c>
      <c r="CN12" s="7">
        <f t="shared" ca="1" si="10"/>
        <v>6.4775257533025155E-2</v>
      </c>
      <c r="CO12" s="7">
        <f t="shared" ca="1" si="10"/>
        <v>0.24749385812672578</v>
      </c>
      <c r="CP12" s="7">
        <f t="shared" ca="1" si="10"/>
        <v>4.3293257857470541E-2</v>
      </c>
      <c r="CQ12" s="7">
        <f t="shared" ca="1" si="10"/>
        <v>5.5081626010975646E-2</v>
      </c>
      <c r="CR12" s="7">
        <f t="shared" ca="1" si="10"/>
        <v>2.9842732286372398E-2</v>
      </c>
      <c r="CS12" s="7">
        <f t="shared" ca="1" si="10"/>
        <v>2.061221822573198E-2</v>
      </c>
      <c r="CT12" s="7">
        <f t="shared" ca="1" si="10"/>
        <v>3.4209994660993309E-2</v>
      </c>
      <c r="CU12" s="7">
        <f t="shared" ca="1" si="10"/>
        <v>3.9524551687101332E-2</v>
      </c>
      <c r="CV12" s="7">
        <f t="shared" ca="1" si="10"/>
        <v>6.2878940206317777E-2</v>
      </c>
      <c r="CW12" s="7">
        <f t="shared" ca="1" si="10"/>
        <v>3.3294636697971801E-2</v>
      </c>
      <c r="CX12" s="7">
        <f t="shared" ca="1" si="10"/>
        <v>4.8781691453303057E-2</v>
      </c>
      <c r="CY12" s="7">
        <f t="shared" ca="1" si="10"/>
        <v>3.4509035492634808E-2</v>
      </c>
      <c r="CZ12" s="7">
        <f t="shared" ca="1" si="10"/>
        <v>2.0491965401210142E-2</v>
      </c>
      <c r="DA12" s="7">
        <f t="shared" ca="1" si="10"/>
        <v>3.6885537722178251E-2</v>
      </c>
      <c r="DB12" s="7">
        <f t="shared" ca="1" si="11"/>
        <v>3.9092364765385502E-2</v>
      </c>
      <c r="DC12" s="7">
        <f t="shared" ca="1" si="11"/>
        <v>5.1387544006111591E-2</v>
      </c>
      <c r="DD12" s="7">
        <f t="shared" ca="1" si="11"/>
        <v>2.6166663512314486E-2</v>
      </c>
      <c r="DE12" s="7">
        <f t="shared" ca="1" si="11"/>
        <v>2.9634534580211588E-2</v>
      </c>
      <c r="DG12" s="41"/>
    </row>
    <row r="13" spans="1:111" x14ac:dyDescent="0.3">
      <c r="A13" s="6">
        <v>5</v>
      </c>
      <c r="B13" s="61" t="s">
        <v>106</v>
      </c>
      <c r="C13" s="60">
        <v>0</v>
      </c>
      <c r="D13" s="59">
        <v>1.3732512746529439</v>
      </c>
      <c r="E13" s="60">
        <v>0.25307421033008914</v>
      </c>
      <c r="G13" s="54">
        <v>0</v>
      </c>
      <c r="H13" s="54">
        <v>1</v>
      </c>
      <c r="AK13" s="27"/>
      <c r="AL13" s="21"/>
      <c r="AM13" s="21"/>
      <c r="AN13" s="33">
        <v>1</v>
      </c>
      <c r="AO13" s="21"/>
      <c r="AP13" s="25">
        <f t="shared" ca="1" si="12"/>
        <v>6.6474976437500111E-2</v>
      </c>
      <c r="AQ13" s="25">
        <f t="shared" ca="1" si="3"/>
        <v>0.28618747834763203</v>
      </c>
      <c r="AS13" s="45">
        <f t="shared" si="4"/>
        <v>8.9219306483927716E-2</v>
      </c>
      <c r="AT13" s="45">
        <f t="shared" si="5"/>
        <v>0.35376135117658419</v>
      </c>
      <c r="AV13" s="46">
        <f t="shared" ca="1" si="6"/>
        <v>0.40223915182101094</v>
      </c>
      <c r="AW13" s="46">
        <f t="shared" ca="1" si="6"/>
        <v>0.35922237925856482</v>
      </c>
      <c r="AX13" s="46">
        <f t="shared" ca="1" si="6"/>
        <v>0.32654924628488369</v>
      </c>
      <c r="AY13" s="46">
        <f t="shared" ca="1" si="6"/>
        <v>0.24599578805997002</v>
      </c>
      <c r="AZ13" s="46">
        <f t="shared" ca="1" si="6"/>
        <v>1</v>
      </c>
      <c r="BA13" s="46">
        <f t="shared" ca="1" si="6"/>
        <v>0.37201075173910703</v>
      </c>
      <c r="BB13" s="46">
        <f t="shared" ca="1" si="6"/>
        <v>0.37352778336433146</v>
      </c>
      <c r="BC13" s="46">
        <f t="shared" ca="1" si="6"/>
        <v>0.11070037692178966</v>
      </c>
      <c r="BD13" s="46">
        <f t="shared" ca="1" si="6"/>
        <v>0.31175124651070474</v>
      </c>
      <c r="BE13" s="46">
        <f t="shared" ca="1" si="6"/>
        <v>0.40401668988027745</v>
      </c>
      <c r="BF13" s="46">
        <f t="shared" ca="1" si="7"/>
        <v>0.35953794560144059</v>
      </c>
      <c r="BG13" s="46">
        <f t="shared" ca="1" si="7"/>
        <v>0.43651389643991306</v>
      </c>
      <c r="BH13" s="46">
        <f t="shared" ca="1" si="7"/>
        <v>0.4399654101011149</v>
      </c>
      <c r="BI13" s="46">
        <f t="shared" ca="1" si="7"/>
        <v>0.32103302382102661</v>
      </c>
      <c r="BJ13" s="46">
        <f t="shared" ca="1" si="7"/>
        <v>0.42974388176066391</v>
      </c>
      <c r="BK13" s="46">
        <f t="shared" ca="1" si="7"/>
        <v>0.50666613778091107</v>
      </c>
      <c r="BL13" s="46">
        <f t="shared" ca="1" si="7"/>
        <v>0.54390397684745806</v>
      </c>
      <c r="BM13" s="46">
        <f t="shared" ca="1" si="7"/>
        <v>0.64673257282990881</v>
      </c>
      <c r="BN13" s="46">
        <f t="shared" ca="1" si="7"/>
        <v>0.46125534959338627</v>
      </c>
      <c r="BO13" s="46">
        <f t="shared" ca="1" si="7"/>
        <v>0.43838911003405456</v>
      </c>
      <c r="BQ13" s="7">
        <f t="shared" ca="1" si="8"/>
        <v>0.12446364820654153</v>
      </c>
      <c r="BR13" s="7">
        <f t="shared" ca="1" si="8"/>
        <v>0.21932136364410135</v>
      </c>
      <c r="BS13" s="7">
        <f t="shared" ca="1" si="8"/>
        <v>0.27995306482058346</v>
      </c>
      <c r="BT13" s="7">
        <f t="shared" ca="1" si="8"/>
        <v>0.17599186636039599</v>
      </c>
      <c r="BU13" s="7">
        <f t="shared" ca="1" si="8"/>
        <v>0.12514709358628254</v>
      </c>
      <c r="BV13" s="7">
        <f t="shared" ca="1" si="8"/>
        <v>0.20896618976105807</v>
      </c>
      <c r="BW13" s="7">
        <f t="shared" ca="1" si="8"/>
        <v>0.11275620124607676</v>
      </c>
      <c r="BX13" s="7">
        <f t="shared" ca="1" si="8"/>
        <v>0.26278489363117041</v>
      </c>
      <c r="BY13" s="7">
        <f t="shared" ca="1" si="8"/>
        <v>0.15487081060286884</v>
      </c>
      <c r="BZ13" s="7">
        <f t="shared" ca="1" si="8"/>
        <v>0.13806780171592359</v>
      </c>
      <c r="CA13" s="7">
        <f t="shared" ca="1" si="9"/>
        <v>0.2468227828000083</v>
      </c>
      <c r="CB13" s="7">
        <f t="shared" ca="1" si="9"/>
        <v>0.10764676179786051</v>
      </c>
      <c r="CC13" s="7">
        <f t="shared" ca="1" si="9"/>
        <v>0.15648153039487356</v>
      </c>
      <c r="CD13" s="7">
        <f t="shared" ca="1" si="9"/>
        <v>0.15170778778069835</v>
      </c>
      <c r="CE13" s="7">
        <f t="shared" ca="1" si="9"/>
        <v>6.729746035173971E-2</v>
      </c>
      <c r="CF13" s="7">
        <f t="shared" ca="1" si="9"/>
        <v>0.10274459932835299</v>
      </c>
      <c r="CG13" s="7">
        <f t="shared" ca="1" si="9"/>
        <v>0.10143655049231237</v>
      </c>
      <c r="CH13" s="7">
        <f t="shared" ca="1" si="9"/>
        <v>0.11213931285326674</v>
      </c>
      <c r="CI13" s="7">
        <f t="shared" ca="1" si="9"/>
        <v>8.0062970132534328E-2</v>
      </c>
      <c r="CJ13" s="7">
        <f t="shared" ca="1" si="9"/>
        <v>9.540323850102285E-2</v>
      </c>
      <c r="CK13" s="41"/>
      <c r="CL13" s="7">
        <f t="shared" ca="1" si="10"/>
        <v>5.0064152287147952E-2</v>
      </c>
      <c r="CM13" s="7">
        <f t="shared" ca="1" si="10"/>
        <v>7.8785142070466982E-2</v>
      </c>
      <c r="CN13" s="7">
        <f t="shared" ca="1" si="10"/>
        <v>9.1418462312304716E-2</v>
      </c>
      <c r="CO13" s="7">
        <f t="shared" ca="1" si="10"/>
        <v>4.3293257857470541E-2</v>
      </c>
      <c r="CP13" s="7">
        <f t="shared" ca="1" si="10"/>
        <v>0.12514709358628254</v>
      </c>
      <c r="CQ13" s="7">
        <f t="shared" ca="1" si="10"/>
        <v>7.77376693410681E-2</v>
      </c>
      <c r="CR13" s="7">
        <f t="shared" ca="1" si="10"/>
        <v>4.211757391202952E-2</v>
      </c>
      <c r="CS13" s="7">
        <f t="shared" ca="1" si="10"/>
        <v>2.909038677432297E-2</v>
      </c>
      <c r="CT13" s="7">
        <f t="shared" ca="1" si="10"/>
        <v>4.8281168253567625E-2</v>
      </c>
      <c r="CU13" s="7">
        <f t="shared" ca="1" si="10"/>
        <v>5.5781696228313936E-2</v>
      </c>
      <c r="CV13" s="7">
        <f t="shared" ca="1" si="10"/>
        <v>8.8742156255545573E-2</v>
      </c>
      <c r="CW13" s="7">
        <f t="shared" ca="1" si="10"/>
        <v>4.6989307431523269E-2</v>
      </c>
      <c r="CX13" s="7">
        <f t="shared" ca="1" si="10"/>
        <v>6.8846460693430617E-2</v>
      </c>
      <c r="CY13" s="7">
        <f t="shared" ca="1" si="10"/>
        <v>4.870320984843618E-2</v>
      </c>
      <c r="CZ13" s="7">
        <f t="shared" ca="1" si="10"/>
        <v>2.8920671844190997E-2</v>
      </c>
      <c r="DA13" s="7">
        <f t="shared" ca="1" si="10"/>
        <v>5.2057209319543801E-2</v>
      </c>
      <c r="DB13" s="7">
        <f t="shared" ca="1" si="11"/>
        <v>5.5171743210456682E-2</v>
      </c>
      <c r="DC13" s="7">
        <f t="shared" ca="1" si="11"/>
        <v>7.2524146316971266E-2</v>
      </c>
      <c r="DD13" s="7">
        <f t="shared" ca="1" si="11"/>
        <v>3.6929473277966966E-2</v>
      </c>
      <c r="DE13" s="7">
        <f t="shared" ca="1" si="11"/>
        <v>4.1823740820830055E-2</v>
      </c>
      <c r="DG13" s="41"/>
    </row>
    <row r="14" spans="1:111" x14ac:dyDescent="0.3">
      <c r="A14" s="6">
        <v>6</v>
      </c>
      <c r="B14" s="61" t="s">
        <v>107</v>
      </c>
      <c r="C14" s="60">
        <v>0</v>
      </c>
      <c r="D14" s="59">
        <v>1.7471753541522104</v>
      </c>
      <c r="E14" s="60">
        <v>0.50001940738755779</v>
      </c>
      <c r="G14" s="54">
        <v>0</v>
      </c>
      <c r="H14" s="54">
        <v>1</v>
      </c>
      <c r="AK14" s="27"/>
      <c r="AL14" s="21"/>
      <c r="AM14" s="21"/>
      <c r="AN14" s="33">
        <v>1</v>
      </c>
      <c r="AO14" s="21"/>
      <c r="AP14" s="25">
        <f t="shared" ca="1" si="12"/>
        <v>6.8709978052463122E-2</v>
      </c>
      <c r="AQ14" s="25">
        <f t="shared" ca="1" si="3"/>
        <v>0.26534852756211358</v>
      </c>
      <c r="AS14" s="45">
        <f t="shared" si="4"/>
        <v>9.8455231247559588E-2</v>
      </c>
      <c r="AT14" s="45">
        <f t="shared" si="5"/>
        <v>0.59069818979956945</v>
      </c>
      <c r="AV14" s="46">
        <f t="shared" ca="1" si="6"/>
        <v>0.30648947719787584</v>
      </c>
      <c r="AW14" s="46">
        <f t="shared" ca="1" si="6"/>
        <v>0.27371248849919549</v>
      </c>
      <c r="AX14" s="46">
        <f t="shared" ca="1" si="6"/>
        <v>0.24881692227152943</v>
      </c>
      <c r="AY14" s="46">
        <f t="shared" ca="1" si="6"/>
        <v>0.18743854280234046</v>
      </c>
      <c r="AZ14" s="46">
        <f t="shared" ca="1" si="6"/>
        <v>0.37201075173910703</v>
      </c>
      <c r="BA14" s="46">
        <f t="shared" ca="1" si="6"/>
        <v>1</v>
      </c>
      <c r="BB14" s="46">
        <f t="shared" ca="1" si="6"/>
        <v>0.28461261049286901</v>
      </c>
      <c r="BC14" s="46">
        <f t="shared" ca="1" si="6"/>
        <v>8.4349075655033898E-2</v>
      </c>
      <c r="BD14" s="46">
        <f t="shared" ca="1" si="6"/>
        <v>0.23754146289908981</v>
      </c>
      <c r="BE14" s="46">
        <f t="shared" ca="1" si="6"/>
        <v>0.30784388715030714</v>
      </c>
      <c r="BF14" s="46">
        <f t="shared" ca="1" si="7"/>
        <v>0.27395293690659539</v>
      </c>
      <c r="BG14" s="46">
        <f t="shared" ca="1" si="7"/>
        <v>0.33260540477921796</v>
      </c>
      <c r="BH14" s="46">
        <f t="shared" ca="1" si="7"/>
        <v>0.33523531440580201</v>
      </c>
      <c r="BI14" s="46">
        <f t="shared" ca="1" si="7"/>
        <v>0.24461379054901866</v>
      </c>
      <c r="BJ14" s="46">
        <f t="shared" ca="1" si="7"/>
        <v>0.32744693561908933</v>
      </c>
      <c r="BK14" s="46">
        <f t="shared" ca="1" si="7"/>
        <v>0.38605849027704447</v>
      </c>
      <c r="BL14" s="46">
        <f t="shared" ca="1" si="7"/>
        <v>0.41443217239082142</v>
      </c>
      <c r="BM14" s="46">
        <f t="shared" ca="1" si="7"/>
        <v>0.49278327889294771</v>
      </c>
      <c r="BN14" s="46">
        <f t="shared" ca="1" si="7"/>
        <v>0.35145736140202338</v>
      </c>
      <c r="BO14" s="46">
        <f t="shared" ca="1" si="7"/>
        <v>0.3340342394202539</v>
      </c>
      <c r="BQ14" s="7">
        <f t="shared" ca="1" si="8"/>
        <v>0.2078249968430155</v>
      </c>
      <c r="BR14" s="7">
        <f t="shared" ca="1" si="8"/>
        <v>0.36621505446556252</v>
      </c>
      <c r="BS14" s="7">
        <f t="shared" ca="1" si="8"/>
        <v>0.46745572422866194</v>
      </c>
      <c r="BT14" s="7">
        <f t="shared" ca="1" si="8"/>
        <v>0.29386499269288957</v>
      </c>
      <c r="BU14" s="7">
        <f t="shared" ca="1" si="8"/>
        <v>0.20896618976105807</v>
      </c>
      <c r="BV14" s="7">
        <f t="shared" ca="1" si="8"/>
        <v>0.34892435143248818</v>
      </c>
      <c r="BW14" s="7">
        <f t="shared" ca="1" si="8"/>
        <v>0.18827631606225656</v>
      </c>
      <c r="BX14" s="7">
        <f t="shared" ca="1" si="8"/>
        <v>0.43878891930487224</v>
      </c>
      <c r="BY14" s="7">
        <f t="shared" ca="1" si="8"/>
        <v>0.2585978009515299</v>
      </c>
      <c r="BZ14" s="7">
        <f t="shared" ca="1" si="8"/>
        <v>0.23054073112269435</v>
      </c>
      <c r="CA14" s="7">
        <f t="shared" ca="1" si="9"/>
        <v>0.41213595130260711</v>
      </c>
      <c r="CB14" s="7">
        <f t="shared" ca="1" si="9"/>
        <v>0.17974475481930632</v>
      </c>
      <c r="CC14" s="7">
        <f t="shared" ca="1" si="9"/>
        <v>0.26128732388060932</v>
      </c>
      <c r="CD14" s="7">
        <f t="shared" ca="1" si="9"/>
        <v>0.25331629733578243</v>
      </c>
      <c r="CE14" s="7">
        <f t="shared" ca="1" si="9"/>
        <v>0.11237091863106892</v>
      </c>
      <c r="CF14" s="7">
        <f t="shared" ca="1" si="9"/>
        <v>0.17155929734292966</v>
      </c>
      <c r="CG14" s="7">
        <f t="shared" ca="1" si="9"/>
        <v>0.16937516366905939</v>
      </c>
      <c r="CH14" s="7">
        <f t="shared" ca="1" si="9"/>
        <v>0.18724625764652147</v>
      </c>
      <c r="CI14" s="7">
        <f t="shared" ca="1" si="9"/>
        <v>0.13368631527998132</v>
      </c>
      <c r="CJ14" s="7">
        <f t="shared" ca="1" si="9"/>
        <v>0.15930095273590461</v>
      </c>
      <c r="CK14" s="41"/>
      <c r="CL14" s="7">
        <f t="shared" ca="1" si="10"/>
        <v>6.3696174631066013E-2</v>
      </c>
      <c r="CM14" s="7">
        <f t="shared" ca="1" si="10"/>
        <v>0.10023763388363753</v>
      </c>
      <c r="CN14" s="7">
        <f t="shared" ca="1" si="10"/>
        <v>0.11631089460078448</v>
      </c>
      <c r="CO14" s="7">
        <f t="shared" ca="1" si="10"/>
        <v>5.5081626010975646E-2</v>
      </c>
      <c r="CP14" s="7">
        <f t="shared" ca="1" si="10"/>
        <v>7.77376693410681E-2</v>
      </c>
      <c r="CQ14" s="7">
        <f t="shared" ca="1" si="10"/>
        <v>0.34892435143248818</v>
      </c>
      <c r="CR14" s="7">
        <f t="shared" ca="1" si="10"/>
        <v>5.3585813808459323E-2</v>
      </c>
      <c r="CS14" s="7">
        <f t="shared" ca="1" si="10"/>
        <v>3.7011439751037233E-2</v>
      </c>
      <c r="CT14" s="7">
        <f t="shared" ca="1" si="10"/>
        <v>6.1427699940514051E-2</v>
      </c>
      <c r="CU14" s="7">
        <f t="shared" ca="1" si="10"/>
        <v>7.0970554815284026E-2</v>
      </c>
      <c r="CV14" s="7">
        <f t="shared" ca="1" si="10"/>
        <v>0.11290585426414279</v>
      </c>
      <c r="CW14" s="7">
        <f t="shared" ca="1" si="10"/>
        <v>5.9784076933616669E-2</v>
      </c>
      <c r="CX14" s="7">
        <f t="shared" ca="1" si="10"/>
        <v>8.7592738171366688E-2</v>
      </c>
      <c r="CY14" s="7">
        <f t="shared" ca="1" si="10"/>
        <v>6.1964659699148016E-2</v>
      </c>
      <c r="CZ14" s="7">
        <f t="shared" ca="1" si="10"/>
        <v>3.6795512958445548E-2</v>
      </c>
      <c r="DA14" s="7">
        <f t="shared" ca="1" si="10"/>
        <v>6.6231923325201988E-2</v>
      </c>
      <c r="DB14" s="7">
        <f t="shared" ca="1" si="11"/>
        <v>7.0194517028419209E-2</v>
      </c>
      <c r="DC14" s="7">
        <f t="shared" ca="1" si="11"/>
        <v>9.227182480348653E-2</v>
      </c>
      <c r="DD14" s="7">
        <f t="shared" ca="1" si="11"/>
        <v>4.6985039623861233E-2</v>
      </c>
      <c r="DE14" s="7">
        <f t="shared" ca="1" si="11"/>
        <v>5.3211972586059711E-2</v>
      </c>
      <c r="DG14" s="41"/>
    </row>
    <row r="15" spans="1:111" x14ac:dyDescent="0.3">
      <c r="A15" s="6">
        <v>7</v>
      </c>
      <c r="B15" s="61" t="s">
        <v>108</v>
      </c>
      <c r="C15" s="60">
        <v>0</v>
      </c>
      <c r="D15" s="59">
        <v>0.94660397899151905</v>
      </c>
      <c r="E15" s="60">
        <v>0.26936930843091472</v>
      </c>
      <c r="G15" s="54">
        <v>0</v>
      </c>
      <c r="H15" s="54">
        <v>1</v>
      </c>
      <c r="AK15" s="27"/>
      <c r="AL15" s="21"/>
      <c r="AM15" s="21"/>
      <c r="AN15" s="33">
        <v>1</v>
      </c>
      <c r="AO15" s="21"/>
      <c r="AP15" s="25">
        <f t="shared" ca="1" si="12"/>
        <v>7.0944979667426133E-2</v>
      </c>
      <c r="AQ15" s="25">
        <f t="shared" ca="1" si="3"/>
        <v>0.24741669499642638</v>
      </c>
      <c r="AS15" s="45">
        <f t="shared" si="4"/>
        <v>7.868111828109052E-2</v>
      </c>
      <c r="AT15" s="45">
        <f t="shared" si="5"/>
        <v>0.31873521760095597</v>
      </c>
      <c r="AV15" s="46">
        <f t="shared" ca="1" si="6"/>
        <v>0.30773931803590016</v>
      </c>
      <c r="AW15" s="46">
        <f t="shared" ca="1" si="6"/>
        <v>0.27482866726373661</v>
      </c>
      <c r="AX15" s="46">
        <f t="shared" ca="1" si="6"/>
        <v>0.24983157880554713</v>
      </c>
      <c r="AY15" s="46">
        <f t="shared" ca="1" si="6"/>
        <v>0.18820290296098596</v>
      </c>
      <c r="AZ15" s="46">
        <f t="shared" ca="1" si="6"/>
        <v>0.37352778336433146</v>
      </c>
      <c r="BA15" s="46">
        <f t="shared" ca="1" si="6"/>
        <v>0.28461261049286901</v>
      </c>
      <c r="BB15" s="46">
        <f t="shared" ca="1" si="6"/>
        <v>1</v>
      </c>
      <c r="BC15" s="46">
        <f t="shared" ca="1" si="6"/>
        <v>8.4693044786917679E-2</v>
      </c>
      <c r="BD15" s="46">
        <f t="shared" ca="1" si="6"/>
        <v>0.2385101389651319</v>
      </c>
      <c r="BE15" s="46">
        <f t="shared" ca="1" si="6"/>
        <v>0.30909925116937337</v>
      </c>
      <c r="BF15" s="46">
        <f t="shared" ca="1" si="7"/>
        <v>0.27507009620150169</v>
      </c>
      <c r="BG15" s="46">
        <f t="shared" ca="1" si="7"/>
        <v>0.33396174438879062</v>
      </c>
      <c r="BH15" s="46">
        <f t="shared" ca="1" si="7"/>
        <v>0.33660237858732961</v>
      </c>
      <c r="BI15" s="46">
        <f t="shared" ca="1" si="7"/>
        <v>0.24561130703071743</v>
      </c>
      <c r="BJ15" s="46">
        <f t="shared" ca="1" si="7"/>
        <v>0.32878223938274337</v>
      </c>
      <c r="BK15" s="46">
        <f t="shared" ca="1" si="7"/>
        <v>0.38763280751437901</v>
      </c>
      <c r="BL15" s="46">
        <f t="shared" ca="1" si="7"/>
        <v>0.41612219535141648</v>
      </c>
      <c r="BM15" s="46">
        <f t="shared" ca="1" si="7"/>
        <v>0.494792811722221</v>
      </c>
      <c r="BN15" s="46">
        <f t="shared" ca="1" si="7"/>
        <v>0.35289057786061312</v>
      </c>
      <c r="BO15" s="46">
        <f t="shared" ca="1" si="7"/>
        <v>0.33539640570910273</v>
      </c>
      <c r="BQ15" s="7">
        <f t="shared" ca="1" si="8"/>
        <v>0.11214042422265236</v>
      </c>
      <c r="BR15" s="7">
        <f t="shared" ca="1" si="8"/>
        <v>0.19760621767510975</v>
      </c>
      <c r="BS15" s="7">
        <f t="shared" ca="1" si="8"/>
        <v>0.25223473603565738</v>
      </c>
      <c r="BT15" s="7">
        <f t="shared" ca="1" si="8"/>
        <v>0.15856680113249225</v>
      </c>
      <c r="BU15" s="7">
        <f t="shared" ca="1" si="8"/>
        <v>0.11275620124607676</v>
      </c>
      <c r="BV15" s="7">
        <f t="shared" ca="1" si="8"/>
        <v>0.18827631606225656</v>
      </c>
      <c r="BW15" s="7">
        <f t="shared" ca="1" si="8"/>
        <v>0.10159213893912875</v>
      </c>
      <c r="BX15" s="7">
        <f t="shared" ca="1" si="8"/>
        <v>0.23676639625894569</v>
      </c>
      <c r="BY15" s="7">
        <f t="shared" ca="1" si="8"/>
        <v>0.13953695437154134</v>
      </c>
      <c r="BZ15" s="7">
        <f t="shared" ca="1" si="8"/>
        <v>0.12439762194837359</v>
      </c>
      <c r="CA15" s="7">
        <f t="shared" ca="1" si="9"/>
        <v>0.22238470404689434</v>
      </c>
      <c r="CB15" s="7">
        <f t="shared" ca="1" si="9"/>
        <v>9.6988588299892292E-2</v>
      </c>
      <c r="CC15" s="7">
        <f t="shared" ca="1" si="9"/>
        <v>0.14098819578525509</v>
      </c>
      <c r="CD15" s="7">
        <f t="shared" ca="1" si="9"/>
        <v>0.13668710442567183</v>
      </c>
      <c r="CE15" s="7">
        <f t="shared" ca="1" si="9"/>
        <v>6.063429653313486E-2</v>
      </c>
      <c r="CF15" s="7">
        <f t="shared" ca="1" si="9"/>
        <v>9.2571792015513049E-2</v>
      </c>
      <c r="CG15" s="7">
        <f t="shared" ca="1" si="9"/>
        <v>9.1393253916307371E-2</v>
      </c>
      <c r="CH15" s="7">
        <f t="shared" ca="1" si="9"/>
        <v>0.10103632905355518</v>
      </c>
      <c r="CI15" s="7">
        <f t="shared" ca="1" si="9"/>
        <v>7.2135885172583791E-2</v>
      </c>
      <c r="CJ15" s="7">
        <f t="shared" ca="1" si="9"/>
        <v>8.5957303934766804E-2</v>
      </c>
      <c r="CK15" s="41"/>
      <c r="CL15" s="7">
        <f t="shared" ca="1" si="10"/>
        <v>3.4510017674535577E-2</v>
      </c>
      <c r="CM15" s="7">
        <f t="shared" ca="1" si="10"/>
        <v>5.4307853446678246E-2</v>
      </c>
      <c r="CN15" s="7">
        <f t="shared" ca="1" si="10"/>
        <v>6.3016202333388713E-2</v>
      </c>
      <c r="CO15" s="7">
        <f t="shared" ca="1" si="10"/>
        <v>2.9842732286372398E-2</v>
      </c>
      <c r="CP15" s="7">
        <f t="shared" ca="1" si="10"/>
        <v>4.211757391202952E-2</v>
      </c>
      <c r="CQ15" s="7">
        <f t="shared" ca="1" si="10"/>
        <v>5.3585813808459323E-2</v>
      </c>
      <c r="CR15" s="7">
        <f t="shared" ca="1" si="10"/>
        <v>0.10159213893912875</v>
      </c>
      <c r="CS15" s="7">
        <f t="shared" ca="1" si="10"/>
        <v>2.0052467002395987E-2</v>
      </c>
      <c r="CT15" s="7">
        <f t="shared" ca="1" si="10"/>
        <v>3.3280978377927595E-2</v>
      </c>
      <c r="CU15" s="7">
        <f t="shared" ca="1" si="10"/>
        <v>3.8451211791493078E-2</v>
      </c>
      <c r="CV15" s="7">
        <f t="shared" ca="1" si="10"/>
        <v>6.1171381935921705E-2</v>
      </c>
      <c r="CW15" s="7">
        <f t="shared" ca="1" si="10"/>
        <v>3.239047813443828E-2</v>
      </c>
      <c r="CX15" s="7">
        <f t="shared" ca="1" si="10"/>
        <v>4.7456962054052983E-2</v>
      </c>
      <c r="CY15" s="7">
        <f t="shared" ca="1" si="10"/>
        <v>3.357189837223342E-2</v>
      </c>
      <c r="CZ15" s="7">
        <f t="shared" ca="1" si="10"/>
        <v>1.9935479797561391E-2</v>
      </c>
      <c r="DA15" s="7">
        <f t="shared" ca="1" si="10"/>
        <v>3.5883863635610497E-2</v>
      </c>
      <c r="DB15" s="7">
        <f t="shared" ca="1" si="11"/>
        <v>3.8030761459963265E-2</v>
      </c>
      <c r="DC15" s="7">
        <f t="shared" ca="1" si="11"/>
        <v>4.99920493385001E-2</v>
      </c>
      <c r="DD15" s="7">
        <f t="shared" ca="1" si="11"/>
        <v>2.5456074203039927E-2</v>
      </c>
      <c r="DE15" s="7">
        <f t="shared" ca="1" si="11"/>
        <v>2.8829770784165699E-2</v>
      </c>
      <c r="DG15" s="41"/>
    </row>
    <row r="16" spans="1:111" x14ac:dyDescent="0.3">
      <c r="A16" s="6">
        <v>8</v>
      </c>
      <c r="B16" s="61" t="s">
        <v>109</v>
      </c>
      <c r="C16" s="60">
        <v>0</v>
      </c>
      <c r="D16" s="59">
        <v>0.65381438941598935</v>
      </c>
      <c r="E16" s="60">
        <v>0.73344920863748031</v>
      </c>
      <c r="G16" s="54">
        <v>0</v>
      </c>
      <c r="H16" s="54">
        <v>1</v>
      </c>
      <c r="AK16" s="27"/>
      <c r="AL16" s="21"/>
      <c r="AM16" s="21"/>
      <c r="AN16" s="33">
        <v>1</v>
      </c>
      <c r="AO16" s="21"/>
      <c r="AP16" s="25">
        <f t="shared" ca="1" si="12"/>
        <v>7.3179981282389145E-2</v>
      </c>
      <c r="AQ16" s="25">
        <f t="shared" ca="1" si="3"/>
        <v>0.23306396635622481</v>
      </c>
      <c r="AS16" s="45">
        <f t="shared" si="4"/>
        <v>7.1449215418574935E-2</v>
      </c>
      <c r="AT16" s="45">
        <f t="shared" si="5"/>
        <v>0.74283098692711125</v>
      </c>
      <c r="AV16" s="46">
        <f t="shared" ca="1" si="6"/>
        <v>9.1203010906957177E-2</v>
      </c>
      <c r="AW16" s="46">
        <f t="shared" ca="1" si="6"/>
        <v>8.1449462155092647E-2</v>
      </c>
      <c r="AX16" s="46">
        <f t="shared" ca="1" si="6"/>
        <v>7.4041212387578464E-2</v>
      </c>
      <c r="AY16" s="46">
        <f t="shared" ca="1" si="6"/>
        <v>5.5776660327392452E-2</v>
      </c>
      <c r="AZ16" s="46">
        <f t="shared" ca="1" si="6"/>
        <v>0.11070037692178966</v>
      </c>
      <c r="BA16" s="46">
        <f t="shared" ca="1" si="6"/>
        <v>8.4349075655033898E-2</v>
      </c>
      <c r="BB16" s="46">
        <f t="shared" ca="1" si="6"/>
        <v>8.4693044786917679E-2</v>
      </c>
      <c r="BC16" s="46">
        <f t="shared" ca="1" si="6"/>
        <v>1</v>
      </c>
      <c r="BD16" s="46">
        <f t="shared" ca="1" si="6"/>
        <v>7.068593946425511E-2</v>
      </c>
      <c r="BE16" s="46">
        <f t="shared" ca="1" si="6"/>
        <v>9.1606046817988909E-2</v>
      </c>
      <c r="BF16" s="46">
        <f t="shared" ca="1" si="7"/>
        <v>8.1521013122920788E-2</v>
      </c>
      <c r="BG16" s="46">
        <f t="shared" ca="1" si="7"/>
        <v>9.8974407334080444E-2</v>
      </c>
      <c r="BH16" s="46">
        <f t="shared" ca="1" si="7"/>
        <v>9.9756997583346316E-2</v>
      </c>
      <c r="BI16" s="46">
        <f t="shared" ca="1" si="7"/>
        <v>7.2790473628661673E-2</v>
      </c>
      <c r="BJ16" s="46">
        <f t="shared" ca="1" si="7"/>
        <v>9.7439385892640645E-2</v>
      </c>
      <c r="BK16" s="46">
        <f t="shared" ca="1" si="7"/>
        <v>0.1148806054334081</v>
      </c>
      <c r="BL16" s="46">
        <f t="shared" ca="1" si="7"/>
        <v>0.12332384878046312</v>
      </c>
      <c r="BM16" s="46">
        <f t="shared" ca="1" si="7"/>
        <v>0.146639027122694</v>
      </c>
      <c r="BN16" s="46">
        <f t="shared" ca="1" si="7"/>
        <v>0.10458424171145178</v>
      </c>
      <c r="BO16" s="46">
        <f t="shared" ca="1" si="7"/>
        <v>9.939959002727454E-2</v>
      </c>
      <c r="BQ16" s="7">
        <f t="shared" ca="1" si="8"/>
        <v>0.2613497894168314</v>
      </c>
      <c r="BR16" s="7">
        <f t="shared" ca="1" si="8"/>
        <v>0.46053279836277211</v>
      </c>
      <c r="BS16" s="7">
        <f t="shared" ca="1" si="8"/>
        <v>0.58784774182451305</v>
      </c>
      <c r="BT16" s="7">
        <f t="shared" ca="1" si="8"/>
        <v>0.36954916455636411</v>
      </c>
      <c r="BU16" s="7">
        <f t="shared" ca="1" si="8"/>
        <v>0.26278489363117041</v>
      </c>
      <c r="BV16" s="7">
        <f t="shared" ca="1" si="8"/>
        <v>0.43878891930487224</v>
      </c>
      <c r="BW16" s="7">
        <f t="shared" ca="1" si="8"/>
        <v>0.23676639625894569</v>
      </c>
      <c r="BX16" s="7">
        <f t="shared" ca="1" si="8"/>
        <v>0.55179787513910616</v>
      </c>
      <c r="BY16" s="7">
        <f t="shared" ca="1" si="8"/>
        <v>0.32519899843130629</v>
      </c>
      <c r="BZ16" s="7">
        <f t="shared" ca="1" si="8"/>
        <v>0.28991590254386396</v>
      </c>
      <c r="CA16" s="7">
        <f t="shared" ca="1" si="9"/>
        <v>0.51828050388666125</v>
      </c>
      <c r="CB16" s="7">
        <f t="shared" ca="1" si="9"/>
        <v>0.22603755339541803</v>
      </c>
      <c r="CC16" s="7">
        <f t="shared" ca="1" si="9"/>
        <v>0.32858120106248251</v>
      </c>
      <c r="CD16" s="7">
        <f t="shared" ca="1" si="9"/>
        <v>0.31855725716462657</v>
      </c>
      <c r="CE16" s="7">
        <f t="shared" ca="1" si="9"/>
        <v>0.14131175925381831</v>
      </c>
      <c r="CF16" s="7">
        <f t="shared" ca="1" si="9"/>
        <v>0.21574395243197184</v>
      </c>
      <c r="CG16" s="7">
        <f t="shared" ca="1" si="9"/>
        <v>0.21299730075678672</v>
      </c>
      <c r="CH16" s="7">
        <f t="shared" ca="1" si="9"/>
        <v>0.23547104895169782</v>
      </c>
      <c r="CI16" s="7">
        <f t="shared" ca="1" si="9"/>
        <v>0.16811688140059008</v>
      </c>
      <c r="CJ16" s="7">
        <f t="shared" ca="1" si="9"/>
        <v>0.20032850274925182</v>
      </c>
      <c r="CK16" s="41"/>
      <c r="CL16" s="7">
        <f t="shared" ca="1" si="10"/>
        <v>2.3835887694714234E-2</v>
      </c>
      <c r="CM16" s="7">
        <f t="shared" ca="1" si="10"/>
        <v>3.7510148731427523E-2</v>
      </c>
      <c r="CN16" s="7">
        <f t="shared" ca="1" si="10"/>
        <v>4.352495950398716E-2</v>
      </c>
      <c r="CO16" s="7">
        <f t="shared" ca="1" si="10"/>
        <v>2.061221822573198E-2</v>
      </c>
      <c r="CP16" s="7">
        <f t="shared" ca="1" si="10"/>
        <v>2.909038677432297E-2</v>
      </c>
      <c r="CQ16" s="7">
        <f t="shared" ca="1" si="10"/>
        <v>3.7011439751037233E-2</v>
      </c>
      <c r="CR16" s="7">
        <f t="shared" ca="1" si="10"/>
        <v>2.0052467002395987E-2</v>
      </c>
      <c r="CS16" s="7">
        <f t="shared" ca="1" si="10"/>
        <v>0.55179787513910616</v>
      </c>
      <c r="CT16" s="7">
        <f t="shared" ca="1" si="10"/>
        <v>2.2986996716951709E-2</v>
      </c>
      <c r="CU16" s="7">
        <f t="shared" ca="1" si="10"/>
        <v>2.6558049741712712E-2</v>
      </c>
      <c r="CV16" s="7">
        <f t="shared" ca="1" si="10"/>
        <v>4.225075175869851E-2</v>
      </c>
      <c r="CW16" s="7">
        <f t="shared" ca="1" si="10"/>
        <v>2.2371932882557063E-2</v>
      </c>
      <c r="CX16" s="7">
        <f t="shared" ca="1" si="10"/>
        <v>3.2778274080323098E-2</v>
      </c>
      <c r="CY16" s="7">
        <f t="shared" ca="1" si="10"/>
        <v>2.3187933626860547E-2</v>
      </c>
      <c r="CZ16" s="7">
        <f t="shared" ca="1" si="10"/>
        <v>1.3769331041100735E-2</v>
      </c>
      <c r="DA16" s="7">
        <f t="shared" ca="1" si="10"/>
        <v>2.4784795873981323E-2</v>
      </c>
      <c r="DB16" s="7">
        <f t="shared" ca="1" si="11"/>
        <v>2.6267646909176788E-2</v>
      </c>
      <c r="DC16" s="7">
        <f t="shared" ca="1" si="11"/>
        <v>3.4529245533837225E-2</v>
      </c>
      <c r="DD16" s="7">
        <f t="shared" ca="1" si="11"/>
        <v>1.7582376560174785E-2</v>
      </c>
      <c r="DE16" s="7">
        <f t="shared" ca="1" si="11"/>
        <v>1.9912571044053372E-2</v>
      </c>
      <c r="DG16" s="41"/>
    </row>
    <row r="17" spans="1:111" x14ac:dyDescent="0.3">
      <c r="A17" s="6">
        <v>9</v>
      </c>
      <c r="B17" s="61" t="s">
        <v>110</v>
      </c>
      <c r="C17" s="60">
        <v>0</v>
      </c>
      <c r="D17" s="59">
        <v>1.0851324455355797</v>
      </c>
      <c r="E17" s="60">
        <v>0.39179434965144738</v>
      </c>
      <c r="G17" s="54">
        <v>0</v>
      </c>
      <c r="H17" s="54">
        <v>1</v>
      </c>
      <c r="AK17" s="27"/>
      <c r="AL17" s="21"/>
      <c r="AM17" s="21"/>
      <c r="AN17" s="33">
        <v>1</v>
      </c>
      <c r="AO17" s="21"/>
      <c r="AP17" s="25">
        <f t="shared" ca="1" si="12"/>
        <v>7.5414982897352156E-2</v>
      </c>
      <c r="AQ17" s="25">
        <f t="shared" ca="1" si="3"/>
        <v>0.2229825451276507</v>
      </c>
      <c r="AS17" s="45">
        <f t="shared" si="4"/>
        <v>8.2102771404728825E-2</v>
      </c>
      <c r="AT17" s="45">
        <f t="shared" si="5"/>
        <v>0.43778329681232825</v>
      </c>
      <c r="AV17" s="46">
        <f t="shared" ca="1" si="6"/>
        <v>0.2568433200174296</v>
      </c>
      <c r="AW17" s="46">
        <f t="shared" ca="1" si="6"/>
        <v>0.22937565399995113</v>
      </c>
      <c r="AX17" s="46">
        <f t="shared" ca="1" si="6"/>
        <v>0.20851275214084658</v>
      </c>
      <c r="AY17" s="46">
        <f t="shared" ca="1" si="6"/>
        <v>0.15707664117127434</v>
      </c>
      <c r="AZ17" s="46">
        <f t="shared" ca="1" si="6"/>
        <v>0.31175124651070474</v>
      </c>
      <c r="BA17" s="46">
        <f t="shared" ca="1" si="6"/>
        <v>0.23754146289908981</v>
      </c>
      <c r="BB17" s="46">
        <f t="shared" ca="1" si="6"/>
        <v>0.2385101389651319</v>
      </c>
      <c r="BC17" s="46">
        <f t="shared" ca="1" si="6"/>
        <v>7.068593946425511E-2</v>
      </c>
      <c r="BD17" s="46">
        <f t="shared" ca="1" si="6"/>
        <v>1</v>
      </c>
      <c r="BE17" s="46">
        <f t="shared" ca="1" si="6"/>
        <v>0.25797833826349653</v>
      </c>
      <c r="BF17" s="46">
        <f t="shared" ca="1" si="7"/>
        <v>0.22957715379633603</v>
      </c>
      <c r="BG17" s="46">
        <f t="shared" ca="1" si="7"/>
        <v>0.27872890514959398</v>
      </c>
      <c r="BH17" s="46">
        <f t="shared" ca="1" si="7"/>
        <v>0.28093281350564353</v>
      </c>
      <c r="BI17" s="46">
        <f t="shared" ca="1" si="7"/>
        <v>0.20499045729421708</v>
      </c>
      <c r="BJ17" s="46">
        <f t="shared" ca="1" si="7"/>
        <v>0.27440602151453997</v>
      </c>
      <c r="BK17" s="46">
        <f t="shared" ca="1" si="7"/>
        <v>0.32352348690801924</v>
      </c>
      <c r="BL17" s="46">
        <f t="shared" ca="1" si="7"/>
        <v>0.34730110818836296</v>
      </c>
      <c r="BM17" s="46">
        <f t="shared" ca="1" si="7"/>
        <v>0.41296064894986484</v>
      </c>
      <c r="BN17" s="46">
        <f t="shared" ca="1" si="7"/>
        <v>0.29452716084207192</v>
      </c>
      <c r="BO17" s="46">
        <f t="shared" ca="1" si="7"/>
        <v>0.27992629253240014</v>
      </c>
      <c r="BQ17" s="7">
        <f t="shared" ca="1" si="8"/>
        <v>0.1540250399426793</v>
      </c>
      <c r="BR17" s="7">
        <f t="shared" ca="1" si="8"/>
        <v>0.27141243473361526</v>
      </c>
      <c r="BS17" s="7">
        <f t="shared" ca="1" si="8"/>
        <v>0.34644478618777602</v>
      </c>
      <c r="BT17" s="7">
        <f t="shared" ca="1" si="8"/>
        <v>0.21779173787967093</v>
      </c>
      <c r="BU17" s="7">
        <f t="shared" ca="1" si="8"/>
        <v>0.15487081060286884</v>
      </c>
      <c r="BV17" s="7">
        <f t="shared" ca="1" si="8"/>
        <v>0.2585978009515299</v>
      </c>
      <c r="BW17" s="7">
        <f t="shared" ca="1" si="8"/>
        <v>0.13953695437154134</v>
      </c>
      <c r="BX17" s="7">
        <f t="shared" ca="1" si="8"/>
        <v>0.32519899843130629</v>
      </c>
      <c r="BY17" s="7">
        <f t="shared" ca="1" si="8"/>
        <v>0.19165421496787111</v>
      </c>
      <c r="BZ17" s="7">
        <f t="shared" ca="1" si="8"/>
        <v>0.17086031930225365</v>
      </c>
      <c r="CA17" s="7">
        <f t="shared" ca="1" si="9"/>
        <v>0.3054457227257818</v>
      </c>
      <c r="CB17" s="7">
        <f t="shared" ca="1" si="9"/>
        <v>0.13321397070172111</v>
      </c>
      <c r="CC17" s="7">
        <f t="shared" ca="1" si="9"/>
        <v>0.19364749721433311</v>
      </c>
      <c r="CD17" s="7">
        <f t="shared" ca="1" si="9"/>
        <v>0.18773994181627618</v>
      </c>
      <c r="CE17" s="7">
        <f t="shared" ca="1" si="9"/>
        <v>8.3281296732653526E-2</v>
      </c>
      <c r="CF17" s="7">
        <f t="shared" ca="1" si="9"/>
        <v>0.1271474944168671</v>
      </c>
      <c r="CG17" s="7">
        <f t="shared" ca="1" si="9"/>
        <v>0.12552877057965642</v>
      </c>
      <c r="CH17" s="7">
        <f t="shared" ca="1" si="9"/>
        <v>0.13877354866463915</v>
      </c>
      <c r="CI17" s="7">
        <f t="shared" ca="1" si="9"/>
        <v>9.9078745885137987E-2</v>
      </c>
      <c r="CJ17" s="7">
        <f t="shared" ca="1" si="9"/>
        <v>0.1180624851715434</v>
      </c>
      <c r="CK17" s="41"/>
      <c r="CL17" s="7">
        <f t="shared" ca="1" si="10"/>
        <v>3.9560302624694954E-2</v>
      </c>
      <c r="CM17" s="7">
        <f t="shared" ca="1" si="10"/>
        <v>6.2255404720742057E-2</v>
      </c>
      <c r="CN17" s="7">
        <f t="shared" ca="1" si="10"/>
        <v>7.2238155832860335E-2</v>
      </c>
      <c r="CO17" s="7">
        <f t="shared" ca="1" si="10"/>
        <v>3.4209994660993309E-2</v>
      </c>
      <c r="CP17" s="7">
        <f t="shared" ca="1" si="10"/>
        <v>4.8281168253567625E-2</v>
      </c>
      <c r="CQ17" s="7">
        <f t="shared" ca="1" si="10"/>
        <v>6.1427699940514051E-2</v>
      </c>
      <c r="CR17" s="7">
        <f t="shared" ca="1" si="10"/>
        <v>3.3280978377927595E-2</v>
      </c>
      <c r="CS17" s="7">
        <f t="shared" ca="1" si="10"/>
        <v>2.2986996716951709E-2</v>
      </c>
      <c r="CT17" s="7">
        <f t="shared" ca="1" si="10"/>
        <v>0.19165421496787111</v>
      </c>
      <c r="CU17" s="7">
        <f t="shared" ca="1" si="10"/>
        <v>4.4078261248765821E-2</v>
      </c>
      <c r="CV17" s="7">
        <f t="shared" ca="1" si="10"/>
        <v>7.012335966264982E-2</v>
      </c>
      <c r="CW17" s="7">
        <f t="shared" ca="1" si="10"/>
        <v>3.7130584204320811E-2</v>
      </c>
      <c r="CX17" s="7">
        <f t="shared" ca="1" si="10"/>
        <v>5.4401936220748869E-2</v>
      </c>
      <c r="CY17" s="7">
        <f t="shared" ca="1" si="10"/>
        <v>3.8484896525308163E-2</v>
      </c>
      <c r="CZ17" s="7">
        <f t="shared" ca="1" si="10"/>
        <v>2.285288930297931E-2</v>
      </c>
      <c r="DA17" s="7">
        <f t="shared" ca="1" si="10"/>
        <v>4.1135200745362754E-2</v>
      </c>
      <c r="DB17" s="7">
        <f t="shared" ca="1" si="11"/>
        <v>4.3596281131837444E-2</v>
      </c>
      <c r="DC17" s="7">
        <f t="shared" ca="1" si="11"/>
        <v>5.7308014713625031E-2</v>
      </c>
      <c r="DD17" s="7">
        <f t="shared" ca="1" si="11"/>
        <v>2.9181381725342806E-2</v>
      </c>
      <c r="DE17" s="7">
        <f t="shared" ca="1" si="11"/>
        <v>3.3048793761231612E-2</v>
      </c>
      <c r="DG17" s="41"/>
    </row>
    <row r="18" spans="1:111" x14ac:dyDescent="0.3">
      <c r="A18" s="6">
        <v>10</v>
      </c>
      <c r="B18" s="61" t="s">
        <v>111</v>
      </c>
      <c r="C18" s="60">
        <v>0</v>
      </c>
      <c r="D18" s="59">
        <v>1.2537088606980911</v>
      </c>
      <c r="E18" s="60">
        <v>0.31842838169074267</v>
      </c>
      <c r="G18" s="54">
        <v>0</v>
      </c>
      <c r="H18" s="54">
        <v>1</v>
      </c>
      <c r="AK18" s="27"/>
      <c r="AL18" s="21"/>
      <c r="AM18" s="21"/>
      <c r="AN18" s="33">
        <v>1</v>
      </c>
      <c r="AO18" s="21"/>
      <c r="AP18" s="25">
        <f t="shared" ca="1" si="12"/>
        <v>7.7649984512315168E-2</v>
      </c>
      <c r="AQ18" s="25">
        <f t="shared" ca="1" si="3"/>
        <v>0.21776645751052057</v>
      </c>
      <c r="AS18" s="45">
        <f t="shared" si="4"/>
        <v>8.6266608859242852E-2</v>
      </c>
      <c r="AT18" s="45">
        <f t="shared" si="5"/>
        <v>0.39028514917392826</v>
      </c>
      <c r="AV18" s="46">
        <f t="shared" ca="1" si="6"/>
        <v>0.33285829369647613</v>
      </c>
      <c r="AW18" s="46">
        <f t="shared" ca="1" si="6"/>
        <v>0.2972613373816998</v>
      </c>
      <c r="AX18" s="46">
        <f t="shared" ca="1" si="6"/>
        <v>0.2702238815743721</v>
      </c>
      <c r="AY18" s="46">
        <f t="shared" ca="1" si="6"/>
        <v>0.20356481436346474</v>
      </c>
      <c r="AZ18" s="46">
        <f t="shared" ca="1" si="6"/>
        <v>0.40401668988027745</v>
      </c>
      <c r="BA18" s="46">
        <f t="shared" ca="1" si="6"/>
        <v>0.30784388715030714</v>
      </c>
      <c r="BB18" s="46">
        <f t="shared" ca="1" si="6"/>
        <v>0.30909925116937337</v>
      </c>
      <c r="BC18" s="46">
        <f t="shared" ca="1" si="6"/>
        <v>9.1606046817988909E-2</v>
      </c>
      <c r="BD18" s="46">
        <f t="shared" ca="1" si="6"/>
        <v>0.25797833826349653</v>
      </c>
      <c r="BE18" s="46">
        <f t="shared" ca="1" si="6"/>
        <v>1</v>
      </c>
      <c r="BF18" s="46">
        <f t="shared" ca="1" si="7"/>
        <v>0.29752247276338045</v>
      </c>
      <c r="BG18" s="46">
        <f t="shared" ca="1" si="7"/>
        <v>0.36122110462395857</v>
      </c>
      <c r="BH18" s="46">
        <f t="shared" ca="1" si="7"/>
        <v>0.36407727847659482</v>
      </c>
      <c r="BI18" s="46">
        <f t="shared" ca="1" si="7"/>
        <v>0.26565913349190134</v>
      </c>
      <c r="BJ18" s="46">
        <f t="shared" ca="1" si="7"/>
        <v>0.35561882666510464</v>
      </c>
      <c r="BK18" s="46">
        <f t="shared" ca="1" si="7"/>
        <v>0.41927302534334854</v>
      </c>
      <c r="BL18" s="46">
        <f t="shared" ca="1" si="7"/>
        <v>0.4500878366726801</v>
      </c>
      <c r="BM18" s="46">
        <f t="shared" ca="1" si="7"/>
        <v>0.53517987917269372</v>
      </c>
      <c r="BN18" s="46">
        <f t="shared" ca="1" si="7"/>
        <v>0.38169498898591897</v>
      </c>
      <c r="BO18" s="46">
        <f t="shared" ca="1" si="7"/>
        <v>0.36277286902689299</v>
      </c>
      <c r="BQ18" s="7">
        <f t="shared" ca="1" si="8"/>
        <v>0.13731379458343923</v>
      </c>
      <c r="BR18" s="7">
        <f t="shared" ca="1" si="8"/>
        <v>0.24196501636534135</v>
      </c>
      <c r="BS18" s="7">
        <f t="shared" ca="1" si="8"/>
        <v>0.30885658736265009</v>
      </c>
      <c r="BT18" s="7">
        <f t="shared" ca="1" si="8"/>
        <v>0.19416200098574152</v>
      </c>
      <c r="BU18" s="7">
        <f t="shared" ca="1" si="8"/>
        <v>0.13806780171592359</v>
      </c>
      <c r="BV18" s="7">
        <f t="shared" ca="1" si="8"/>
        <v>0.23054073112269435</v>
      </c>
      <c r="BW18" s="7">
        <f t="shared" ca="1" si="8"/>
        <v>0.12439762194837359</v>
      </c>
      <c r="BX18" s="7">
        <f t="shared" ca="1" si="8"/>
        <v>0.28991590254386396</v>
      </c>
      <c r="BY18" s="7">
        <f t="shared" ca="1" si="8"/>
        <v>0.17086031930225365</v>
      </c>
      <c r="BZ18" s="7">
        <f t="shared" ca="1" si="8"/>
        <v>0.15232249766571543</v>
      </c>
      <c r="CA18" s="7">
        <f t="shared" ca="1" si="9"/>
        <v>0.27230579678711264</v>
      </c>
      <c r="CB18" s="7">
        <f t="shared" ca="1" si="9"/>
        <v>0.11876066265191602</v>
      </c>
      <c r="CC18" s="7">
        <f t="shared" ca="1" si="9"/>
        <v>0.17263733652646185</v>
      </c>
      <c r="CD18" s="7">
        <f t="shared" ca="1" si="9"/>
        <v>0.16737073280591772</v>
      </c>
      <c r="CE18" s="7">
        <f t="shared" ca="1" si="9"/>
        <v>7.4245530963315057E-2</v>
      </c>
      <c r="CF18" s="7">
        <f t="shared" ca="1" si="9"/>
        <v>0.1133523804743314</v>
      </c>
      <c r="CG18" s="7">
        <f t="shared" ca="1" si="9"/>
        <v>0.11190928321850351</v>
      </c>
      <c r="CH18" s="7">
        <f t="shared" ca="1" si="9"/>
        <v>0.12371704342386612</v>
      </c>
      <c r="CI18" s="7">
        <f t="shared" ca="1" si="9"/>
        <v>8.8329005239146136E-2</v>
      </c>
      <c r="CJ18" s="7">
        <f t="shared" ca="1" si="9"/>
        <v>0.10525306692268238</v>
      </c>
      <c r="CK18" s="41"/>
      <c r="CL18" s="7">
        <f t="shared" ca="1" si="10"/>
        <v>4.5706035366032009E-2</v>
      </c>
      <c r="CM18" s="7">
        <f t="shared" ca="1" si="10"/>
        <v>7.1926844364346251E-2</v>
      </c>
      <c r="CN18" s="7">
        <f t="shared" ca="1" si="10"/>
        <v>8.3460425886949477E-2</v>
      </c>
      <c r="CO18" s="7">
        <f t="shared" ca="1" si="10"/>
        <v>3.9524551687101332E-2</v>
      </c>
      <c r="CP18" s="7">
        <f t="shared" ca="1" si="10"/>
        <v>5.5781696228313936E-2</v>
      </c>
      <c r="CQ18" s="7">
        <f t="shared" ca="1" si="10"/>
        <v>7.0970554815284026E-2</v>
      </c>
      <c r="CR18" s="7">
        <f t="shared" ca="1" si="10"/>
        <v>3.8451211791493078E-2</v>
      </c>
      <c r="CS18" s="7">
        <f t="shared" ca="1" si="10"/>
        <v>2.6558049741712712E-2</v>
      </c>
      <c r="CT18" s="7">
        <f t="shared" ca="1" si="10"/>
        <v>4.4078261248765821E-2</v>
      </c>
      <c r="CU18" s="7">
        <f t="shared" ca="1" si="10"/>
        <v>0.15232249766571543</v>
      </c>
      <c r="CV18" s="7">
        <f t="shared" ca="1" si="10"/>
        <v>8.1017094007904328E-2</v>
      </c>
      <c r="CW18" s="7">
        <f t="shared" ca="1" si="10"/>
        <v>4.2898857748998404E-2</v>
      </c>
      <c r="CX18" s="7">
        <f t="shared" ca="1" si="10"/>
        <v>6.2853331646002264E-2</v>
      </c>
      <c r="CY18" s="7">
        <f t="shared" ca="1" si="10"/>
        <v>4.4463563849124643E-2</v>
      </c>
      <c r="CZ18" s="7">
        <f t="shared" ca="1" si="10"/>
        <v>2.6403108606301795E-2</v>
      </c>
      <c r="DA18" s="7">
        <f t="shared" ca="1" si="10"/>
        <v>4.7525595491343234E-2</v>
      </c>
      <c r="DB18" s="7">
        <f t="shared" ca="1" si="11"/>
        <v>5.0369007187406507E-2</v>
      </c>
      <c r="DC18" s="7">
        <f t="shared" ca="1" si="11"/>
        <v>6.6210872351187569E-2</v>
      </c>
      <c r="DD18" s="7">
        <f t="shared" ca="1" si="11"/>
        <v>3.3714738681893064E-2</v>
      </c>
      <c r="DE18" s="7">
        <f t="shared" ca="1" si="11"/>
        <v>3.8182957061421059E-2</v>
      </c>
      <c r="DG18" s="41"/>
    </row>
    <row r="19" spans="1:111" x14ac:dyDescent="0.3">
      <c r="A19" s="6">
        <v>11</v>
      </c>
      <c r="B19" s="61" t="s">
        <v>112</v>
      </c>
      <c r="C19" s="60">
        <v>0</v>
      </c>
      <c r="D19" s="59">
        <v>1.9945042036667173</v>
      </c>
      <c r="E19" s="60">
        <v>0.59825607003399073</v>
      </c>
      <c r="G19" s="54">
        <v>0</v>
      </c>
      <c r="H19" s="54">
        <v>1</v>
      </c>
      <c r="AK19" s="27"/>
      <c r="AL19" s="21"/>
      <c r="AM19" s="21"/>
      <c r="AN19" s="33">
        <v>1</v>
      </c>
      <c r="AO19" s="21"/>
      <c r="AP19" s="25">
        <f t="shared" ca="1" si="12"/>
        <v>7.9884986127278179E-2</v>
      </c>
      <c r="AQ19" s="25">
        <f t="shared" ca="1" si="3"/>
        <v>0.2177655991402829</v>
      </c>
      <c r="AS19" s="45">
        <f t="shared" si="4"/>
        <v>0.10456425383056792</v>
      </c>
      <c r="AT19" s="45">
        <f t="shared" si="5"/>
        <v>0.69770985999203672</v>
      </c>
      <c r="AV19" s="46">
        <f t="shared" ref="AV19:BE28" ca="1" si="13">IF($A19=AV$8,1,(OFFSET($D$8,$A19,0)*OFFSET($D$8,AV$8,0)*sigma_M^2)/(OFFSET($AT$8,$A19,0)*OFFSET($AT$8,AV$8,0)))</f>
        <v>0.29621347357579558</v>
      </c>
      <c r="AW19" s="46">
        <f t="shared" ca="1" si="13"/>
        <v>0.26453543436689192</v>
      </c>
      <c r="AX19" s="46">
        <f t="shared" ca="1" si="13"/>
        <v>0.24047456866815814</v>
      </c>
      <c r="AY19" s="46">
        <f t="shared" ca="1" si="13"/>
        <v>0.18115408839834554</v>
      </c>
      <c r="AZ19" s="46">
        <f t="shared" ca="1" si="13"/>
        <v>0.35953794560144059</v>
      </c>
      <c r="BA19" s="46">
        <f t="shared" ca="1" si="13"/>
        <v>0.27395293690659539</v>
      </c>
      <c r="BB19" s="46">
        <f t="shared" ca="1" si="13"/>
        <v>0.27507009620150169</v>
      </c>
      <c r="BC19" s="46">
        <f t="shared" ca="1" si="13"/>
        <v>8.1521013122920788E-2</v>
      </c>
      <c r="BD19" s="46">
        <f t="shared" ca="1" si="13"/>
        <v>0.22957715379633603</v>
      </c>
      <c r="BE19" s="46">
        <f t="shared" ca="1" si="13"/>
        <v>0.29752247276338045</v>
      </c>
      <c r="BF19" s="46">
        <f t="shared" ref="BF19:BO28" ca="1" si="14">IF($A19=BF$8,1,(OFFSET($D$8,$A19,0)*OFFSET($D$8,BF$8,0)*sigma_M^2)/(OFFSET($AT$8,$A19,0)*OFFSET($AT$8,BF$8,0)))</f>
        <v>1</v>
      </c>
      <c r="BG19" s="46">
        <f t="shared" ca="1" si="14"/>
        <v>0.32145378425546323</v>
      </c>
      <c r="BH19" s="46">
        <f t="shared" ca="1" si="14"/>
        <v>0.32399551806245441</v>
      </c>
      <c r="BI19" s="46">
        <f t="shared" ca="1" si="14"/>
        <v>0.23641235988107559</v>
      </c>
      <c r="BJ19" s="46">
        <f t="shared" ca="1" si="14"/>
        <v>0.31646826866052225</v>
      </c>
      <c r="BK19" s="46">
        <f t="shared" ca="1" si="14"/>
        <v>0.37311469044191842</v>
      </c>
      <c r="BL19" s="46">
        <f t="shared" ca="1" si="14"/>
        <v>0.40053705748008944</v>
      </c>
      <c r="BM19" s="46">
        <f t="shared" ca="1" si="14"/>
        <v>0.47626120183796555</v>
      </c>
      <c r="BN19" s="46">
        <f t="shared" ca="1" si="14"/>
        <v>0.33967367097391055</v>
      </c>
      <c r="BO19" s="46">
        <f t="shared" ca="1" si="14"/>
        <v>0.32283471281476067</v>
      </c>
      <c r="BQ19" s="7">
        <f t="shared" ref="BQ19:BZ28" ca="1" si="15">OFFSET($AT$8,BQ$8,0)*OFFSET($AT$8,$A19,0)</f>
        <v>0.245474849854181</v>
      </c>
      <c r="BR19" s="7">
        <f t="shared" ca="1" si="15"/>
        <v>0.4325590611084178</v>
      </c>
      <c r="BS19" s="7">
        <f t="shared" ca="1" si="15"/>
        <v>0.55214062534154995</v>
      </c>
      <c r="BT19" s="7">
        <f t="shared" ca="1" si="15"/>
        <v>0.34710196585821046</v>
      </c>
      <c r="BU19" s="7">
        <f t="shared" ca="1" si="15"/>
        <v>0.2468227828000083</v>
      </c>
      <c r="BV19" s="7">
        <f t="shared" ca="1" si="15"/>
        <v>0.41213595130260711</v>
      </c>
      <c r="BW19" s="7">
        <f t="shared" ca="1" si="15"/>
        <v>0.22238470404689434</v>
      </c>
      <c r="BX19" s="7">
        <f t="shared" ca="1" si="15"/>
        <v>0.51828050388666125</v>
      </c>
      <c r="BY19" s="7">
        <f t="shared" ca="1" si="15"/>
        <v>0.3054457227257818</v>
      </c>
      <c r="BZ19" s="7">
        <f t="shared" ca="1" si="15"/>
        <v>0.27230579678711264</v>
      </c>
      <c r="CA19" s="7">
        <f t="shared" ref="CA19:CJ28" ca="1" si="16">OFFSET($AT$8,CA$8,0)*OFFSET($AT$8,$A19,0)</f>
        <v>0.48679904873010749</v>
      </c>
      <c r="CB19" s="7">
        <f t="shared" ca="1" si="16"/>
        <v>0.21230755381497632</v>
      </c>
      <c r="CC19" s="7">
        <f t="shared" ca="1" si="16"/>
        <v>0.30862248320803432</v>
      </c>
      <c r="CD19" s="7">
        <f t="shared" ca="1" si="16"/>
        <v>0.29920741488613706</v>
      </c>
      <c r="CE19" s="7">
        <f t="shared" ca="1" si="16"/>
        <v>0.13272818379867124</v>
      </c>
      <c r="CF19" s="7">
        <f t="shared" ca="1" si="16"/>
        <v>0.20263920796859516</v>
      </c>
      <c r="CG19" s="7">
        <f t="shared" ca="1" si="16"/>
        <v>0.20005939373162077</v>
      </c>
      <c r="CH19" s="7">
        <f t="shared" ca="1" si="16"/>
        <v>0.22116803887771549</v>
      </c>
      <c r="CI19" s="7">
        <f t="shared" ca="1" si="16"/>
        <v>0.15790510607201291</v>
      </c>
      <c r="CJ19" s="7">
        <f t="shared" ca="1" si="16"/>
        <v>0.18816012533859144</v>
      </c>
      <c r="CK19" s="41"/>
      <c r="CL19" s="7">
        <f t="shared" ca="1" si="10"/>
        <v>7.2712957950803833E-2</v>
      </c>
      <c r="CM19" s="7">
        <f t="shared" ca="1" si="10"/>
        <v>0.11442719911965024</v>
      </c>
      <c r="CN19" s="7">
        <f t="shared" ca="1" si="10"/>
        <v>0.13277577872317634</v>
      </c>
      <c r="CO19" s="7">
        <f t="shared" ca="1" si="10"/>
        <v>6.2878940206317777E-2</v>
      </c>
      <c r="CP19" s="7">
        <f t="shared" ca="1" si="10"/>
        <v>8.8742156255545573E-2</v>
      </c>
      <c r="CQ19" s="7">
        <f t="shared" ca="1" si="10"/>
        <v>0.11290585426414279</v>
      </c>
      <c r="CR19" s="7">
        <f t="shared" ca="1" si="10"/>
        <v>6.1171381935921705E-2</v>
      </c>
      <c r="CS19" s="7">
        <f t="shared" ca="1" si="10"/>
        <v>4.225075175869851E-2</v>
      </c>
      <c r="CT19" s="7">
        <f t="shared" ca="1" si="10"/>
        <v>7.012335966264982E-2</v>
      </c>
      <c r="CU19" s="7">
        <f t="shared" ca="1" si="10"/>
        <v>8.1017094007904328E-2</v>
      </c>
      <c r="CV19" s="7">
        <f t="shared" ca="1" si="10"/>
        <v>0.48679904873010749</v>
      </c>
      <c r="CW19" s="7">
        <f t="shared" ca="1" si="10"/>
        <v>6.8247066599844544E-2</v>
      </c>
      <c r="CX19" s="7">
        <f t="shared" ca="1" si="10"/>
        <v>9.9992301332708214E-2</v>
      </c>
      <c r="CY19" s="7">
        <f t="shared" ca="1" si="10"/>
        <v>7.073633104714773E-2</v>
      </c>
      <c r="CZ19" s="7">
        <f t="shared" ca="1" si="10"/>
        <v>4.2004258529221065E-2</v>
      </c>
      <c r="DA19" s="7">
        <f t="shared" ca="1" si="10"/>
        <v>7.5607665352597914E-2</v>
      </c>
      <c r="DB19" s="7">
        <f t="shared" ca="1" si="11"/>
        <v>8.0131200886514029E-2</v>
      </c>
      <c r="DC19" s="7">
        <f t="shared" ca="1" si="11"/>
        <v>0.10533375600404667</v>
      </c>
      <c r="DD19" s="7">
        <f t="shared" ca="1" si="11"/>
        <v>5.3636207045005359E-2</v>
      </c>
      <c r="DE19" s="7">
        <f t="shared" ca="1" si="11"/>
        <v>6.0744620026873544E-2</v>
      </c>
      <c r="DG19" s="41"/>
    </row>
    <row r="20" spans="1:111" x14ac:dyDescent="0.3">
      <c r="A20" s="6">
        <v>12</v>
      </c>
      <c r="B20" s="61" t="s">
        <v>113</v>
      </c>
      <c r="C20" s="60">
        <v>0</v>
      </c>
      <c r="D20" s="59">
        <v>1.0560975206606411</v>
      </c>
      <c r="E20" s="60">
        <v>0.23760589897200818</v>
      </c>
      <c r="G20" s="54">
        <v>0</v>
      </c>
      <c r="H20" s="54">
        <v>1</v>
      </c>
      <c r="AK20" s="27"/>
      <c r="AL20" s="21"/>
      <c r="AM20" s="21"/>
      <c r="AN20" s="33">
        <v>1</v>
      </c>
      <c r="AO20" s="21"/>
      <c r="AP20" s="25">
        <f t="shared" ca="1" si="12"/>
        <v>8.2119987742241191E-2</v>
      </c>
      <c r="AQ20" s="25">
        <f t="shared" ca="1" si="3"/>
        <v>0.22298003024562446</v>
      </c>
      <c r="AS20" s="45">
        <f t="shared" si="4"/>
        <v>8.1385608760317835E-2</v>
      </c>
      <c r="AT20" s="45">
        <f t="shared" si="5"/>
        <v>0.3042920359723732</v>
      </c>
      <c r="AV20" s="46">
        <f t="shared" ca="1" si="13"/>
        <v>0.35963185280005583</v>
      </c>
      <c r="AW20" s="46">
        <f t="shared" ca="1" si="13"/>
        <v>0.32117164436913948</v>
      </c>
      <c r="AX20" s="46">
        <f t="shared" ca="1" si="13"/>
        <v>0.29195942249836493</v>
      </c>
      <c r="AY20" s="46">
        <f t="shared" ca="1" si="13"/>
        <v>0.21993861273947665</v>
      </c>
      <c r="AZ20" s="46">
        <f t="shared" ca="1" si="13"/>
        <v>0.43651389643991306</v>
      </c>
      <c r="BA20" s="46">
        <f t="shared" ca="1" si="13"/>
        <v>0.33260540477921796</v>
      </c>
      <c r="BB20" s="46">
        <f t="shared" ca="1" si="13"/>
        <v>0.33396174438879062</v>
      </c>
      <c r="BC20" s="46">
        <f t="shared" ca="1" si="13"/>
        <v>9.8974407334080444E-2</v>
      </c>
      <c r="BD20" s="46">
        <f t="shared" ca="1" si="13"/>
        <v>0.27872890514959398</v>
      </c>
      <c r="BE20" s="46">
        <f t="shared" ca="1" si="13"/>
        <v>0.36122110462395857</v>
      </c>
      <c r="BF20" s="46">
        <f t="shared" ca="1" si="14"/>
        <v>0.32145378425546323</v>
      </c>
      <c r="BG20" s="46">
        <f t="shared" ca="1" si="14"/>
        <v>1</v>
      </c>
      <c r="BH20" s="46">
        <f t="shared" ca="1" si="14"/>
        <v>0.39336194621106363</v>
      </c>
      <c r="BI20" s="46">
        <f t="shared" ca="1" si="14"/>
        <v>0.28702750750164435</v>
      </c>
      <c r="BJ20" s="46">
        <f t="shared" ca="1" si="14"/>
        <v>0.38422313622978066</v>
      </c>
      <c r="BK20" s="46">
        <f t="shared" ca="1" si="14"/>
        <v>0.45299737993252076</v>
      </c>
      <c r="BL20" s="46">
        <f t="shared" ca="1" si="14"/>
        <v>0.48629079007707021</v>
      </c>
      <c r="BM20" s="46">
        <f t="shared" ca="1" si="14"/>
        <v>0.57822723715483448</v>
      </c>
      <c r="BN20" s="46">
        <f t="shared" ca="1" si="14"/>
        <v>0.41239674267715609</v>
      </c>
      <c r="BO20" s="46">
        <f t="shared" ca="1" si="14"/>
        <v>0.39195261618657601</v>
      </c>
      <c r="BQ20" s="7">
        <f t="shared" ca="1" si="15"/>
        <v>0.10705888812148061</v>
      </c>
      <c r="BR20" s="7">
        <f t="shared" ca="1" si="15"/>
        <v>0.18865188086130949</v>
      </c>
      <c r="BS20" s="7">
        <f t="shared" ca="1" si="15"/>
        <v>0.24080496014511985</v>
      </c>
      <c r="BT20" s="7">
        <f t="shared" ca="1" si="15"/>
        <v>0.15138149815198759</v>
      </c>
      <c r="BU20" s="7">
        <f t="shared" ca="1" si="15"/>
        <v>0.10764676179786051</v>
      </c>
      <c r="BV20" s="7">
        <f t="shared" ca="1" si="15"/>
        <v>0.17974475481930632</v>
      </c>
      <c r="BW20" s="7">
        <f t="shared" ca="1" si="15"/>
        <v>9.6988588299892292E-2</v>
      </c>
      <c r="BX20" s="7">
        <f t="shared" ca="1" si="15"/>
        <v>0.22603755339541803</v>
      </c>
      <c r="BY20" s="7">
        <f t="shared" ca="1" si="15"/>
        <v>0.13321397070172111</v>
      </c>
      <c r="BZ20" s="7">
        <f t="shared" ca="1" si="15"/>
        <v>0.11876066265191602</v>
      </c>
      <c r="CA20" s="7">
        <f t="shared" ca="1" si="16"/>
        <v>0.21230755381497632</v>
      </c>
      <c r="CB20" s="7">
        <f t="shared" ca="1" si="16"/>
        <v>9.259364315621206E-2</v>
      </c>
      <c r="CC20" s="7">
        <f t="shared" ca="1" si="16"/>
        <v>0.1345994504983693</v>
      </c>
      <c r="CD20" s="7">
        <f t="shared" ca="1" si="16"/>
        <v>0.13049325898127964</v>
      </c>
      <c r="CE20" s="7">
        <f t="shared" ca="1" si="16"/>
        <v>5.7886711360900074E-2</v>
      </c>
      <c r="CF20" s="7">
        <f t="shared" ca="1" si="16"/>
        <v>8.8376989772362899E-2</v>
      </c>
      <c r="CG20" s="7">
        <f t="shared" ca="1" si="16"/>
        <v>8.7251856000269704E-2</v>
      </c>
      <c r="CH20" s="7">
        <f t="shared" ca="1" si="16"/>
        <v>9.645796440784879E-2</v>
      </c>
      <c r="CI20" s="7">
        <f t="shared" ca="1" si="16"/>
        <v>6.8867116508335963E-2</v>
      </c>
      <c r="CJ20" s="7">
        <f t="shared" ca="1" si="16"/>
        <v>8.2062230894587612E-2</v>
      </c>
      <c r="CK20" s="41"/>
      <c r="CL20" s="7">
        <f t="shared" ca="1" si="10"/>
        <v>3.8501786293841961E-2</v>
      </c>
      <c r="CM20" s="7">
        <f t="shared" ca="1" si="10"/>
        <v>6.0589634789557763E-2</v>
      </c>
      <c r="CN20" s="7">
        <f t="shared" ca="1" si="10"/>
        <v>7.0305277098710969E-2</v>
      </c>
      <c r="CO20" s="7">
        <f t="shared" ca="1" si="10"/>
        <v>3.3294636697971801E-2</v>
      </c>
      <c r="CP20" s="7">
        <f t="shared" ca="1" si="10"/>
        <v>4.6989307431523269E-2</v>
      </c>
      <c r="CQ20" s="7">
        <f t="shared" ca="1" si="10"/>
        <v>5.9784076933616669E-2</v>
      </c>
      <c r="CR20" s="7">
        <f t="shared" ca="1" si="10"/>
        <v>3.239047813443828E-2</v>
      </c>
      <c r="CS20" s="7">
        <f t="shared" ca="1" si="10"/>
        <v>2.2371932882557063E-2</v>
      </c>
      <c r="CT20" s="7">
        <f t="shared" ca="1" si="10"/>
        <v>3.7130584204320811E-2</v>
      </c>
      <c r="CU20" s="7">
        <f t="shared" ca="1" si="10"/>
        <v>4.2898857748998404E-2</v>
      </c>
      <c r="CV20" s="7">
        <f t="shared" ca="1" si="10"/>
        <v>6.8247066599844544E-2</v>
      </c>
      <c r="CW20" s="7">
        <f t="shared" ca="1" si="10"/>
        <v>9.259364315621206E-2</v>
      </c>
      <c r="CX20" s="7">
        <f t="shared" ca="1" si="10"/>
        <v>5.2946301806978263E-2</v>
      </c>
      <c r="CY20" s="7">
        <f t="shared" ca="1" si="10"/>
        <v>3.7455154871163264E-2</v>
      </c>
      <c r="CZ20" s="7">
        <f t="shared" ca="1" si="10"/>
        <v>2.2241413785113101E-2</v>
      </c>
      <c r="DA20" s="7">
        <f t="shared" ca="1" si="10"/>
        <v>4.0034544813203579E-2</v>
      </c>
      <c r="DB20" s="7">
        <f t="shared" ca="1" si="11"/>
        <v>4.2429773990061911E-2</v>
      </c>
      <c r="DC20" s="7">
        <f t="shared" ca="1" si="11"/>
        <v>5.5774622261129767E-2</v>
      </c>
      <c r="DD20" s="7">
        <f t="shared" ca="1" si="11"/>
        <v>2.8400574525605956E-2</v>
      </c>
      <c r="DE20" s="7">
        <f t="shared" ca="1" si="11"/>
        <v>3.2164506089240479E-2</v>
      </c>
      <c r="DG20" s="41"/>
    </row>
    <row r="21" spans="1:111" x14ac:dyDescent="0.3">
      <c r="A21" s="6">
        <v>13</v>
      </c>
      <c r="B21" s="61" t="s">
        <v>114</v>
      </c>
      <c r="C21" s="60">
        <v>0</v>
      </c>
      <c r="D21" s="59">
        <v>1.5473430109722166</v>
      </c>
      <c r="E21" s="60">
        <v>0.34363810856608262</v>
      </c>
      <c r="G21" s="54">
        <v>0</v>
      </c>
      <c r="H21" s="54">
        <v>1</v>
      </c>
      <c r="AK21" s="27"/>
      <c r="AL21" s="21"/>
      <c r="AM21" s="21"/>
      <c r="AN21" s="33">
        <v>1</v>
      </c>
      <c r="AO21" s="21"/>
      <c r="AP21" s="25">
        <f t="shared" ca="1" si="12"/>
        <v>8.4354989357204202E-2</v>
      </c>
      <c r="AQ21" s="25">
        <f t="shared" ca="1" si="3"/>
        <v>0.23305995618063557</v>
      </c>
      <c r="AS21" s="45">
        <f t="shared" si="4"/>
        <v>9.3519372371013751E-2</v>
      </c>
      <c r="AT21" s="45">
        <f t="shared" si="5"/>
        <v>0.44233642220787411</v>
      </c>
      <c r="AV21" s="46">
        <f t="shared" ca="1" si="13"/>
        <v>0.36247546044477508</v>
      </c>
      <c r="AW21" s="46">
        <f t="shared" ca="1" si="13"/>
        <v>0.32371114729715988</v>
      </c>
      <c r="AX21" s="46">
        <f t="shared" ca="1" si="13"/>
        <v>0.29426794450302102</v>
      </c>
      <c r="AY21" s="46">
        <f t="shared" ca="1" si="13"/>
        <v>0.22167766648481504</v>
      </c>
      <c r="AZ21" s="46">
        <f t="shared" ca="1" si="13"/>
        <v>0.4399654101011149</v>
      </c>
      <c r="BA21" s="46">
        <f t="shared" ca="1" si="13"/>
        <v>0.33523531440580201</v>
      </c>
      <c r="BB21" s="46">
        <f t="shared" ca="1" si="13"/>
        <v>0.33660237858732961</v>
      </c>
      <c r="BC21" s="46">
        <f t="shared" ca="1" si="13"/>
        <v>9.9756997583346316E-2</v>
      </c>
      <c r="BD21" s="46">
        <f t="shared" ca="1" si="13"/>
        <v>0.28093281350564353</v>
      </c>
      <c r="BE21" s="46">
        <f t="shared" ca="1" si="13"/>
        <v>0.36407727847659482</v>
      </c>
      <c r="BF21" s="46">
        <f t="shared" ca="1" si="14"/>
        <v>0.32399551806245441</v>
      </c>
      <c r="BG21" s="46">
        <f t="shared" ca="1" si="14"/>
        <v>0.39336194621106363</v>
      </c>
      <c r="BH21" s="46">
        <f t="shared" ca="1" si="14"/>
        <v>1</v>
      </c>
      <c r="BI21" s="46">
        <f t="shared" ca="1" si="14"/>
        <v>0.28929703287383146</v>
      </c>
      <c r="BJ21" s="46">
        <f t="shared" ca="1" si="14"/>
        <v>0.38726118705579704</v>
      </c>
      <c r="BK21" s="46">
        <f t="shared" ca="1" si="14"/>
        <v>0.45657922843282617</v>
      </c>
      <c r="BL21" s="46">
        <f t="shared" ca="1" si="14"/>
        <v>0.49013588944035869</v>
      </c>
      <c r="BM21" s="46">
        <f t="shared" ca="1" si="14"/>
        <v>0.58279927764334094</v>
      </c>
      <c r="BN21" s="46">
        <f t="shared" ca="1" si="14"/>
        <v>0.41565756209847166</v>
      </c>
      <c r="BO21" s="46">
        <f t="shared" ca="1" si="14"/>
        <v>0.39505178398019064</v>
      </c>
      <c r="BQ21" s="7">
        <f t="shared" ca="1" si="15"/>
        <v>0.15562696337379095</v>
      </c>
      <c r="BR21" s="7">
        <f t="shared" ca="1" si="15"/>
        <v>0.27423523509683312</v>
      </c>
      <c r="BS21" s="7">
        <f t="shared" ca="1" si="15"/>
        <v>0.35004795370383185</v>
      </c>
      <c r="BT21" s="7">
        <f t="shared" ca="1" si="15"/>
        <v>0.22005686105796593</v>
      </c>
      <c r="BU21" s="7">
        <f t="shared" ca="1" si="15"/>
        <v>0.15648153039487356</v>
      </c>
      <c r="BV21" s="7">
        <f t="shared" ca="1" si="15"/>
        <v>0.26128732388060932</v>
      </c>
      <c r="BW21" s="7">
        <f t="shared" ca="1" si="15"/>
        <v>0.14098819578525509</v>
      </c>
      <c r="BX21" s="7">
        <f t="shared" ca="1" si="15"/>
        <v>0.32858120106248251</v>
      </c>
      <c r="BY21" s="7">
        <f t="shared" ca="1" si="15"/>
        <v>0.19364749721433311</v>
      </c>
      <c r="BZ21" s="7">
        <f t="shared" ca="1" si="15"/>
        <v>0.17263733652646185</v>
      </c>
      <c r="CA21" s="7">
        <f t="shared" ca="1" si="16"/>
        <v>0.30862248320803432</v>
      </c>
      <c r="CB21" s="7">
        <f t="shared" ca="1" si="16"/>
        <v>0.1345994504983693</v>
      </c>
      <c r="CC21" s="7">
        <f t="shared" ca="1" si="16"/>
        <v>0.19566151041166266</v>
      </c>
      <c r="CD21" s="7">
        <f t="shared" ca="1" si="16"/>
        <v>0.1896925140205292</v>
      </c>
      <c r="CE21" s="7">
        <f t="shared" ca="1" si="16"/>
        <v>8.4147456291248993E-2</v>
      </c>
      <c r="CF21" s="7">
        <f t="shared" ca="1" si="16"/>
        <v>0.12846988037819726</v>
      </c>
      <c r="CG21" s="7">
        <f t="shared" ca="1" si="16"/>
        <v>0.12683432115081697</v>
      </c>
      <c r="CH21" s="7">
        <f t="shared" ca="1" si="16"/>
        <v>0.1402168503466717</v>
      </c>
      <c r="CI21" s="7">
        <f t="shared" ca="1" si="16"/>
        <v>0.10010920537807255</v>
      </c>
      <c r="CJ21" s="7">
        <f t="shared" ca="1" si="16"/>
        <v>0.11929038331980522</v>
      </c>
      <c r="CK21" s="41"/>
      <c r="CL21" s="7">
        <f t="shared" ca="1" si="10"/>
        <v>5.6410955206537022E-2</v>
      </c>
      <c r="CM21" s="7">
        <f t="shared" ca="1" si="10"/>
        <v>8.8773002582502217E-2</v>
      </c>
      <c r="CN21" s="7">
        <f t="shared" ca="1" si="10"/>
        <v>0.10300789181391526</v>
      </c>
      <c r="CO21" s="7">
        <f t="shared" ca="1" si="10"/>
        <v>4.8781691453303057E-2</v>
      </c>
      <c r="CP21" s="7">
        <f t="shared" ca="1" si="10"/>
        <v>6.8846460693430617E-2</v>
      </c>
      <c r="CQ21" s="7">
        <f t="shared" ca="1" si="10"/>
        <v>8.7592738171366688E-2</v>
      </c>
      <c r="CR21" s="7">
        <f t="shared" ca="1" si="10"/>
        <v>4.7456962054052983E-2</v>
      </c>
      <c r="CS21" s="7">
        <f t="shared" ca="1" si="10"/>
        <v>3.2778274080323098E-2</v>
      </c>
      <c r="CT21" s="7">
        <f t="shared" ca="1" si="10"/>
        <v>5.4401936220748869E-2</v>
      </c>
      <c r="CU21" s="7">
        <f t="shared" ca="1" si="10"/>
        <v>6.2853331646002264E-2</v>
      </c>
      <c r="CV21" s="7">
        <f t="shared" ca="1" si="10"/>
        <v>9.9992301332708214E-2</v>
      </c>
      <c r="CW21" s="7">
        <f t="shared" ca="1" si="10"/>
        <v>5.2946301806978263E-2</v>
      </c>
      <c r="CX21" s="7">
        <f t="shared" ca="1" si="10"/>
        <v>0.19566151041166266</v>
      </c>
      <c r="CY21" s="7">
        <f t="shared" ca="1" si="10"/>
        <v>5.4877481464516771E-2</v>
      </c>
      <c r="CZ21" s="7">
        <f t="shared" ca="1" si="10"/>
        <v>3.2587043811074884E-2</v>
      </c>
      <c r="DA21" s="7">
        <f t="shared" ca="1" si="10"/>
        <v>5.865667885993478E-2</v>
      </c>
      <c r="DB21" s="7">
        <f t="shared" ca="1" si="11"/>
        <v>6.2166052808819774E-2</v>
      </c>
      <c r="DC21" s="7">
        <f t="shared" ca="1" si="11"/>
        <v>8.171827909546471E-2</v>
      </c>
      <c r="DD21" s="7">
        <f t="shared" ca="1" si="11"/>
        <v>4.1611148251064843E-2</v>
      </c>
      <c r="DE21" s="7">
        <f t="shared" ca="1" si="11"/>
        <v>4.7125878742169829E-2</v>
      </c>
      <c r="DG21" s="41"/>
    </row>
    <row r="22" spans="1:111" x14ac:dyDescent="0.3">
      <c r="A22" s="6">
        <v>14</v>
      </c>
      <c r="B22" s="61" t="s">
        <v>115</v>
      </c>
      <c r="C22" s="60">
        <v>0</v>
      </c>
      <c r="D22" s="59">
        <v>1.0946179456699641</v>
      </c>
      <c r="E22" s="60">
        <v>0.38089933921688995</v>
      </c>
      <c r="G22" s="54">
        <v>0</v>
      </c>
      <c r="H22" s="54">
        <v>1</v>
      </c>
      <c r="AK22" s="27"/>
      <c r="AL22" s="21"/>
      <c r="AM22" s="21"/>
      <c r="AN22" s="33">
        <v>1</v>
      </c>
      <c r="AO22" s="21"/>
      <c r="AP22" s="25">
        <f t="shared" ca="1" si="12"/>
        <v>8.6589990972167213E-2</v>
      </c>
      <c r="AQ22" s="25">
        <f t="shared" ca="1" si="3"/>
        <v>0.24741140642393275</v>
      </c>
      <c r="AS22" s="45">
        <f t="shared" si="4"/>
        <v>8.2337063258048113E-2</v>
      </c>
      <c r="AT22" s="45">
        <f t="shared" si="5"/>
        <v>0.42884217644502265</v>
      </c>
      <c r="AV22" s="46">
        <f t="shared" ca="1" si="13"/>
        <v>0.26449032232047781</v>
      </c>
      <c r="AW22" s="46">
        <f t="shared" ca="1" si="13"/>
        <v>0.23620486082643896</v>
      </c>
      <c r="AX22" s="46">
        <f t="shared" ca="1" si="13"/>
        <v>0.21472080729185372</v>
      </c>
      <c r="AY22" s="46">
        <f t="shared" ca="1" si="13"/>
        <v>0.16175328776153919</v>
      </c>
      <c r="AZ22" s="46">
        <f t="shared" ca="1" si="13"/>
        <v>0.32103302382102661</v>
      </c>
      <c r="BA22" s="46">
        <f t="shared" ca="1" si="13"/>
        <v>0.24461379054901866</v>
      </c>
      <c r="BB22" s="46">
        <f t="shared" ca="1" si="13"/>
        <v>0.24561130703071743</v>
      </c>
      <c r="BC22" s="46">
        <f t="shared" ca="1" si="13"/>
        <v>7.2790473628661673E-2</v>
      </c>
      <c r="BD22" s="46">
        <f t="shared" ca="1" si="13"/>
        <v>0.20499045729421708</v>
      </c>
      <c r="BE22" s="46">
        <f t="shared" ca="1" si="13"/>
        <v>0.26565913349190134</v>
      </c>
      <c r="BF22" s="46">
        <f t="shared" ca="1" si="14"/>
        <v>0.23641235988107559</v>
      </c>
      <c r="BG22" s="46">
        <f t="shared" ca="1" si="14"/>
        <v>0.28702750750164435</v>
      </c>
      <c r="BH22" s="46">
        <f t="shared" ca="1" si="14"/>
        <v>0.28929703287383146</v>
      </c>
      <c r="BI22" s="46">
        <f t="shared" ca="1" si="14"/>
        <v>1</v>
      </c>
      <c r="BJ22" s="46">
        <f t="shared" ca="1" si="14"/>
        <v>0.28257591854884712</v>
      </c>
      <c r="BK22" s="46">
        <f t="shared" ca="1" si="14"/>
        <v>0.33315575941293757</v>
      </c>
      <c r="BL22" s="46">
        <f t="shared" ca="1" si="14"/>
        <v>0.35764131237972518</v>
      </c>
      <c r="BM22" s="46">
        <f t="shared" ca="1" si="14"/>
        <v>0.42525573621697238</v>
      </c>
      <c r="BN22" s="46">
        <f t="shared" ca="1" si="14"/>
        <v>0.30329612503828596</v>
      </c>
      <c r="BO22" s="46">
        <f t="shared" ca="1" si="14"/>
        <v>0.28826054472760521</v>
      </c>
      <c r="BQ22" s="7">
        <f t="shared" ca="1" si="15"/>
        <v>0.15087929082037571</v>
      </c>
      <c r="BR22" s="7">
        <f t="shared" ca="1" si="15"/>
        <v>0.26586920988742602</v>
      </c>
      <c r="BS22" s="7">
        <f t="shared" ca="1" si="15"/>
        <v>0.33936912899280025</v>
      </c>
      <c r="BT22" s="7">
        <f t="shared" ca="1" si="15"/>
        <v>0.21334364185233073</v>
      </c>
      <c r="BU22" s="7">
        <f t="shared" ca="1" si="15"/>
        <v>0.15170778778069835</v>
      </c>
      <c r="BV22" s="7">
        <f t="shared" ca="1" si="15"/>
        <v>0.25331629733578243</v>
      </c>
      <c r="BW22" s="7">
        <f t="shared" ca="1" si="15"/>
        <v>0.13668710442567183</v>
      </c>
      <c r="BX22" s="7">
        <f t="shared" ca="1" si="15"/>
        <v>0.31855725716462657</v>
      </c>
      <c r="BY22" s="7">
        <f t="shared" ca="1" si="15"/>
        <v>0.18773994181627618</v>
      </c>
      <c r="BZ22" s="7">
        <f t="shared" ca="1" si="15"/>
        <v>0.16737073280591772</v>
      </c>
      <c r="CA22" s="7">
        <f t="shared" ca="1" si="16"/>
        <v>0.29920741488613706</v>
      </c>
      <c r="CB22" s="7">
        <f t="shared" ca="1" si="16"/>
        <v>0.13049325898127964</v>
      </c>
      <c r="CC22" s="7">
        <f t="shared" ca="1" si="16"/>
        <v>0.1896925140205292</v>
      </c>
      <c r="CD22" s="7">
        <f t="shared" ca="1" si="16"/>
        <v>0.18390561229810393</v>
      </c>
      <c r="CE22" s="7">
        <f t="shared" ca="1" si="16"/>
        <v>8.1580391047457484E-2</v>
      </c>
      <c r="CF22" s="7">
        <f t="shared" ca="1" si="16"/>
        <v>0.12455068211210282</v>
      </c>
      <c r="CG22" s="7">
        <f t="shared" ca="1" si="16"/>
        <v>0.12296501847790883</v>
      </c>
      <c r="CH22" s="7">
        <f t="shared" ca="1" si="16"/>
        <v>0.13593929022800311</v>
      </c>
      <c r="CI22" s="7">
        <f t="shared" ca="1" si="16"/>
        <v>9.7055199077274126E-2</v>
      </c>
      <c r="CJ22" s="7">
        <f t="shared" ca="1" si="16"/>
        <v>0.11565122165722407</v>
      </c>
      <c r="CK22" s="41"/>
      <c r="CL22" s="7">
        <f t="shared" ca="1" si="10"/>
        <v>3.9906112260566277E-2</v>
      </c>
      <c r="CM22" s="7">
        <f t="shared" ca="1" si="10"/>
        <v>6.2799599719494753E-2</v>
      </c>
      <c r="CN22" s="7">
        <f t="shared" ca="1" si="10"/>
        <v>7.2869613347267312E-2</v>
      </c>
      <c r="CO22" s="7">
        <f t="shared" ca="1" si="10"/>
        <v>3.4509035492634808E-2</v>
      </c>
      <c r="CP22" s="7">
        <f t="shared" ca="1" si="10"/>
        <v>4.870320984843618E-2</v>
      </c>
      <c r="CQ22" s="7">
        <f t="shared" ca="1" si="10"/>
        <v>6.1964659699148016E-2</v>
      </c>
      <c r="CR22" s="7">
        <f t="shared" ca="1" si="10"/>
        <v>3.357189837223342E-2</v>
      </c>
      <c r="CS22" s="7">
        <f t="shared" ca="1" si="10"/>
        <v>2.3187933626860547E-2</v>
      </c>
      <c r="CT22" s="7">
        <f t="shared" ca="1" si="10"/>
        <v>3.8484896525308163E-2</v>
      </c>
      <c r="CU22" s="7">
        <f t="shared" ca="1" si="10"/>
        <v>4.4463563849124643E-2</v>
      </c>
      <c r="CV22" s="7">
        <f t="shared" ca="1" si="10"/>
        <v>7.073633104714773E-2</v>
      </c>
      <c r="CW22" s="7">
        <f t="shared" ca="1" si="10"/>
        <v>3.7455154871163264E-2</v>
      </c>
      <c r="CX22" s="7">
        <f t="shared" ca="1" si="10"/>
        <v>5.4877481464516771E-2</v>
      </c>
      <c r="CY22" s="7">
        <f t="shared" ca="1" si="10"/>
        <v>0.18390561229810393</v>
      </c>
      <c r="CZ22" s="7">
        <f t="shared" ca="1" si="10"/>
        <v>2.3052653935809443E-2</v>
      </c>
      <c r="DA22" s="7">
        <f t="shared" ca="1" si="10"/>
        <v>4.1494777084456994E-2</v>
      </c>
      <c r="DB22" s="7">
        <f t="shared" ca="1" si="11"/>
        <v>4.3977370585236472E-2</v>
      </c>
      <c r="DC22" s="7">
        <f t="shared" ca="1" si="11"/>
        <v>5.7808962946722144E-2</v>
      </c>
      <c r="DD22" s="7">
        <f t="shared" ca="1" si="11"/>
        <v>2.9436465794956668E-2</v>
      </c>
      <c r="DE22" s="7">
        <f t="shared" ca="1" si="11"/>
        <v>3.3337684153324422E-2</v>
      </c>
      <c r="DG22" s="41"/>
    </row>
    <row r="23" spans="1:111" x14ac:dyDescent="0.3">
      <c r="A23" s="6">
        <v>15</v>
      </c>
      <c r="B23" s="61" t="s">
        <v>85</v>
      </c>
      <c r="C23" s="60">
        <v>0</v>
      </c>
      <c r="D23" s="59">
        <v>0.65</v>
      </c>
      <c r="E23" s="60">
        <v>0.15</v>
      </c>
      <c r="G23" s="54">
        <v>0</v>
      </c>
      <c r="H23" s="54">
        <v>1</v>
      </c>
      <c r="AK23" s="27"/>
      <c r="AL23" s="21"/>
      <c r="AM23" s="21"/>
      <c r="AN23" s="33">
        <v>1</v>
      </c>
      <c r="AO23" s="21"/>
      <c r="AP23" s="25">
        <f t="shared" ca="1" si="12"/>
        <v>8.8824992587130225E-2</v>
      </c>
      <c r="AQ23" s="25">
        <f t="shared" ca="1" si="3"/>
        <v>0.2653421874666459</v>
      </c>
      <c r="AS23" s="45">
        <f t="shared" si="4"/>
        <v>7.1355000000000002E-2</v>
      </c>
      <c r="AT23" s="45">
        <f t="shared" si="5"/>
        <v>0.19023406634985227</v>
      </c>
      <c r="AV23" s="46">
        <f t="shared" ca="1" si="13"/>
        <v>0.35405422298703321</v>
      </c>
      <c r="AW23" s="46">
        <f t="shared" ca="1" si="13"/>
        <v>0.31619050455968339</v>
      </c>
      <c r="AX23" s="46">
        <f t="shared" ca="1" si="13"/>
        <v>0.28743134311262397</v>
      </c>
      <c r="AY23" s="46">
        <f t="shared" ca="1" si="13"/>
        <v>0.21652752399998015</v>
      </c>
      <c r="AZ23" s="46">
        <f t="shared" ca="1" si="13"/>
        <v>0.42974388176066391</v>
      </c>
      <c r="BA23" s="46">
        <f t="shared" ca="1" si="13"/>
        <v>0.32744693561908933</v>
      </c>
      <c r="BB23" s="46">
        <f t="shared" ca="1" si="13"/>
        <v>0.32878223938274337</v>
      </c>
      <c r="BC23" s="46">
        <f t="shared" ca="1" si="13"/>
        <v>9.7439385892640645E-2</v>
      </c>
      <c r="BD23" s="46">
        <f t="shared" ca="1" si="13"/>
        <v>0.27440602151453997</v>
      </c>
      <c r="BE23" s="46">
        <f t="shared" ca="1" si="13"/>
        <v>0.35561882666510464</v>
      </c>
      <c r="BF23" s="46">
        <f t="shared" ca="1" si="14"/>
        <v>0.31646826866052225</v>
      </c>
      <c r="BG23" s="46">
        <f t="shared" ca="1" si="14"/>
        <v>0.38422313622978066</v>
      </c>
      <c r="BH23" s="46">
        <f t="shared" ca="1" si="14"/>
        <v>0.38726118705579704</v>
      </c>
      <c r="BI23" s="46">
        <f t="shared" ca="1" si="14"/>
        <v>0.28257591854884712</v>
      </c>
      <c r="BJ23" s="46">
        <f t="shared" ca="1" si="14"/>
        <v>1</v>
      </c>
      <c r="BK23" s="46">
        <f t="shared" ca="1" si="14"/>
        <v>0.44597171835148863</v>
      </c>
      <c r="BL23" s="46">
        <f t="shared" ca="1" si="14"/>
        <v>0.4787487717952798</v>
      </c>
      <c r="BM23" s="46">
        <f t="shared" ca="1" si="14"/>
        <v>0.56925935110262327</v>
      </c>
      <c r="BN23" s="46">
        <f t="shared" ca="1" si="14"/>
        <v>0.40600076760197734</v>
      </c>
      <c r="BO23" s="46">
        <f t="shared" ca="1" si="14"/>
        <v>0.38587371472022042</v>
      </c>
      <c r="BQ23" s="7">
        <f t="shared" ca="1" si="15"/>
        <v>6.6929939724390985E-2</v>
      </c>
      <c r="BR23" s="7">
        <f t="shared" ca="1" si="15"/>
        <v>0.11793938118069269</v>
      </c>
      <c r="BS23" s="7">
        <f t="shared" ca="1" si="15"/>
        <v>0.15054388991560497</v>
      </c>
      <c r="BT23" s="7">
        <f t="shared" ca="1" si="15"/>
        <v>9.463907877694118E-2</v>
      </c>
      <c r="BU23" s="7">
        <f t="shared" ca="1" si="15"/>
        <v>6.729746035173971E-2</v>
      </c>
      <c r="BV23" s="7">
        <f t="shared" ca="1" si="15"/>
        <v>0.11237091863106892</v>
      </c>
      <c r="BW23" s="7">
        <f t="shared" ca="1" si="15"/>
        <v>6.063429653313486E-2</v>
      </c>
      <c r="BX23" s="7">
        <f t="shared" ca="1" si="15"/>
        <v>0.14131175925381831</v>
      </c>
      <c r="BY23" s="7">
        <f t="shared" ca="1" si="15"/>
        <v>8.3281296732653526E-2</v>
      </c>
      <c r="BZ23" s="7">
        <f t="shared" ca="1" si="15"/>
        <v>7.4245530963315057E-2</v>
      </c>
      <c r="CA23" s="7">
        <f t="shared" ca="1" si="16"/>
        <v>0.13272818379867124</v>
      </c>
      <c r="CB23" s="7">
        <f t="shared" ca="1" si="16"/>
        <v>5.7886711360900074E-2</v>
      </c>
      <c r="CC23" s="7">
        <f t="shared" ca="1" si="16"/>
        <v>8.4147456291248993E-2</v>
      </c>
      <c r="CD23" s="7">
        <f t="shared" ca="1" si="16"/>
        <v>8.1580391047457484E-2</v>
      </c>
      <c r="CE23" s="7">
        <f t="shared" ca="1" si="16"/>
        <v>3.6188999999999992E-2</v>
      </c>
      <c r="CF23" s="7">
        <f t="shared" ca="1" si="16"/>
        <v>5.5250588739306654E-2</v>
      </c>
      <c r="CG23" s="7">
        <f t="shared" ca="1" si="16"/>
        <v>5.4547189545933523E-2</v>
      </c>
      <c r="CH23" s="7">
        <f t="shared" ca="1" si="16"/>
        <v>6.0302566718507089E-2</v>
      </c>
      <c r="CI23" s="7">
        <f t="shared" ca="1" si="16"/>
        <v>4.3053613182170901E-2</v>
      </c>
      <c r="CJ23" s="7">
        <f t="shared" ca="1" si="16"/>
        <v>5.1302794787028892E-2</v>
      </c>
      <c r="CK23" s="41"/>
      <c r="CL23" s="7">
        <f t="shared" ca="1" si="10"/>
        <v>2.3696827803688217E-2</v>
      </c>
      <c r="CM23" s="7">
        <f t="shared" ca="1" si="10"/>
        <v>3.7291312442980049E-2</v>
      </c>
      <c r="CN23" s="7">
        <f t="shared" ca="1" si="10"/>
        <v>4.3271032475841346E-2</v>
      </c>
      <c r="CO23" s="7">
        <f t="shared" ca="1" si="10"/>
        <v>2.0491965401210142E-2</v>
      </c>
      <c r="CP23" s="7">
        <f t="shared" ca="1" si="10"/>
        <v>2.8920671844190997E-2</v>
      </c>
      <c r="CQ23" s="7">
        <f t="shared" ca="1" si="10"/>
        <v>3.6795512958445548E-2</v>
      </c>
      <c r="CR23" s="7">
        <f t="shared" ca="1" si="10"/>
        <v>1.9935479797561391E-2</v>
      </c>
      <c r="CS23" s="7">
        <f t="shared" ca="1" si="10"/>
        <v>1.3769331041100735E-2</v>
      </c>
      <c r="CT23" s="7">
        <f t="shared" ca="1" si="10"/>
        <v>2.285288930297931E-2</v>
      </c>
      <c r="CU23" s="7">
        <f t="shared" ca="1" si="10"/>
        <v>2.6403108606301795E-2</v>
      </c>
      <c r="CV23" s="7">
        <f t="shared" ca="1" si="10"/>
        <v>4.2004258529221065E-2</v>
      </c>
      <c r="CW23" s="7">
        <f t="shared" ca="1" si="10"/>
        <v>2.2241413785113101E-2</v>
      </c>
      <c r="CX23" s="7">
        <f t="shared" ca="1" si="10"/>
        <v>3.2587043811074884E-2</v>
      </c>
      <c r="CY23" s="7">
        <f t="shared" ca="1" si="10"/>
        <v>2.3052653935809443E-2</v>
      </c>
      <c r="CZ23" s="7">
        <f t="shared" ca="1" si="10"/>
        <v>3.6188999999999992E-2</v>
      </c>
      <c r="DA23" s="7">
        <f t="shared" ca="1" si="10"/>
        <v>2.4640199999999998E-2</v>
      </c>
      <c r="DB23" s="7">
        <f t="shared" ca="1" si="11"/>
        <v>2.6114399999999999E-2</v>
      </c>
      <c r="DC23" s="7">
        <f t="shared" ca="1" si="11"/>
        <v>3.4327799999999992E-2</v>
      </c>
      <c r="DD23" s="7">
        <f t="shared" ca="1" si="11"/>
        <v>1.7479799999999997E-2</v>
      </c>
      <c r="DE23" s="7">
        <f t="shared" ca="1" si="11"/>
        <v>1.9796399999999999E-2</v>
      </c>
      <c r="DG23" s="41"/>
    </row>
    <row r="24" spans="1:111" x14ac:dyDescent="0.3">
      <c r="A24" s="6">
        <v>16</v>
      </c>
      <c r="B24" s="61" t="s">
        <v>86</v>
      </c>
      <c r="C24" s="60">
        <v>0</v>
      </c>
      <c r="D24" s="59">
        <v>1.17</v>
      </c>
      <c r="E24" s="60">
        <v>0.2</v>
      </c>
      <c r="G24" s="54">
        <v>0</v>
      </c>
      <c r="H24" s="54">
        <v>1</v>
      </c>
      <c r="AK24" s="27"/>
      <c r="AL24" s="21"/>
      <c r="AM24" s="21"/>
      <c r="AN24" s="33">
        <v>1</v>
      </c>
      <c r="AO24" s="21"/>
      <c r="AP24" s="25">
        <f t="shared" ca="1" si="12"/>
        <v>9.1059994202093236E-2</v>
      </c>
      <c r="AQ24" s="25">
        <f t="shared" ca="1" si="3"/>
        <v>0.28618029358722341</v>
      </c>
      <c r="AS24" s="45">
        <f t="shared" si="4"/>
        <v>8.4198999999999996E-2</v>
      </c>
      <c r="AT24" s="45">
        <f t="shared" si="5"/>
        <v>0.29043477753189267</v>
      </c>
      <c r="AV24" s="46">
        <f t="shared" ca="1" si="13"/>
        <v>0.41742836452007293</v>
      </c>
      <c r="AW24" s="46">
        <f t="shared" ca="1" si="13"/>
        <v>0.37278720779432462</v>
      </c>
      <c r="AX24" s="46">
        <f t="shared" ca="1" si="13"/>
        <v>0.33888028352003235</v>
      </c>
      <c r="AY24" s="46">
        <f t="shared" ca="1" si="13"/>
        <v>0.25528499407335914</v>
      </c>
      <c r="AZ24" s="46">
        <f t="shared" ca="1" si="13"/>
        <v>0.50666613778091107</v>
      </c>
      <c r="BA24" s="46">
        <f t="shared" ca="1" si="13"/>
        <v>0.38605849027704447</v>
      </c>
      <c r="BB24" s="46">
        <f t="shared" ca="1" si="13"/>
        <v>0.38763280751437901</v>
      </c>
      <c r="BC24" s="46">
        <f t="shared" ca="1" si="13"/>
        <v>0.1148806054334081</v>
      </c>
      <c r="BD24" s="46">
        <f t="shared" ca="1" si="13"/>
        <v>0.32352348690801924</v>
      </c>
      <c r="BE24" s="46">
        <f t="shared" ca="1" si="13"/>
        <v>0.41927302534334854</v>
      </c>
      <c r="BF24" s="46">
        <f t="shared" ca="1" si="14"/>
        <v>0.37311469044191842</v>
      </c>
      <c r="BG24" s="46">
        <f t="shared" ca="1" si="14"/>
        <v>0.45299737993252076</v>
      </c>
      <c r="BH24" s="46">
        <f t="shared" ca="1" si="14"/>
        <v>0.45657922843282617</v>
      </c>
      <c r="BI24" s="46">
        <f t="shared" ca="1" si="14"/>
        <v>0.33315575941293757</v>
      </c>
      <c r="BJ24" s="46">
        <f t="shared" ca="1" si="14"/>
        <v>0.44597171835148863</v>
      </c>
      <c r="BK24" s="46">
        <f t="shared" ca="1" si="14"/>
        <v>1</v>
      </c>
      <c r="BL24" s="46">
        <f t="shared" ca="1" si="14"/>
        <v>0.56444268660457764</v>
      </c>
      <c r="BM24" s="46">
        <f t="shared" ca="1" si="14"/>
        <v>0.67115425968871656</v>
      </c>
      <c r="BN24" s="46">
        <f t="shared" ca="1" si="14"/>
        <v>0.47867311109630367</v>
      </c>
      <c r="BO24" s="46">
        <f t="shared" ca="1" si="14"/>
        <v>0.45494340467970057</v>
      </c>
      <c r="BQ24" s="7">
        <f t="shared" ca="1" si="15"/>
        <v>0.10218349703111194</v>
      </c>
      <c r="BR24" s="7">
        <f t="shared" ca="1" si="15"/>
        <v>0.1800607987449992</v>
      </c>
      <c r="BS24" s="7">
        <f t="shared" ca="1" si="15"/>
        <v>0.22983886122696251</v>
      </c>
      <c r="BT24" s="7">
        <f t="shared" ca="1" si="15"/>
        <v>0.14448768466030071</v>
      </c>
      <c r="BU24" s="7">
        <f t="shared" ca="1" si="15"/>
        <v>0.10274459932835299</v>
      </c>
      <c r="BV24" s="7">
        <f t="shared" ca="1" si="15"/>
        <v>0.17155929734292966</v>
      </c>
      <c r="BW24" s="7">
        <f t="shared" ca="1" si="15"/>
        <v>9.2571792015513049E-2</v>
      </c>
      <c r="BX24" s="7">
        <f t="shared" ca="1" si="15"/>
        <v>0.21574395243197184</v>
      </c>
      <c r="BY24" s="7">
        <f t="shared" ca="1" si="15"/>
        <v>0.1271474944168671</v>
      </c>
      <c r="BZ24" s="7">
        <f t="shared" ca="1" si="15"/>
        <v>0.1133523804743314</v>
      </c>
      <c r="CA24" s="7">
        <f t="shared" ca="1" si="16"/>
        <v>0.20263920796859516</v>
      </c>
      <c r="CB24" s="7">
        <f t="shared" ca="1" si="16"/>
        <v>8.8376989772362899E-2</v>
      </c>
      <c r="CC24" s="7">
        <f t="shared" ca="1" si="16"/>
        <v>0.12846988037819726</v>
      </c>
      <c r="CD24" s="7">
        <f t="shared" ca="1" si="16"/>
        <v>0.12455068211210282</v>
      </c>
      <c r="CE24" s="7">
        <f t="shared" ca="1" si="16"/>
        <v>5.5250588739306654E-2</v>
      </c>
      <c r="CF24" s="7">
        <f t="shared" ca="1" si="16"/>
        <v>8.4352359999999987E-2</v>
      </c>
      <c r="CG24" s="7">
        <f t="shared" ca="1" si="16"/>
        <v>8.3278464077133407E-2</v>
      </c>
      <c r="CH24" s="7">
        <f t="shared" ca="1" si="16"/>
        <v>9.2065332385223034E-2</v>
      </c>
      <c r="CI24" s="7">
        <f t="shared" ca="1" si="16"/>
        <v>6.5730953485018007E-2</v>
      </c>
      <c r="CJ24" s="7">
        <f t="shared" ca="1" si="16"/>
        <v>7.8325171072844771E-2</v>
      </c>
      <c r="CK24" s="41"/>
      <c r="CL24" s="7">
        <f t="shared" ca="1" si="10"/>
        <v>4.2654290046638788E-2</v>
      </c>
      <c r="CM24" s="7">
        <f t="shared" ca="1" si="10"/>
        <v>6.7124362397364079E-2</v>
      </c>
      <c r="CN24" s="7">
        <f t="shared" ca="1" si="10"/>
        <v>7.7887858456514428E-2</v>
      </c>
      <c r="CO24" s="7">
        <f t="shared" ca="1" si="10"/>
        <v>3.6885537722178251E-2</v>
      </c>
      <c r="CP24" s="7">
        <f t="shared" ca="1" si="10"/>
        <v>5.2057209319543801E-2</v>
      </c>
      <c r="CQ24" s="7">
        <f t="shared" ca="1" si="10"/>
        <v>6.6231923325201988E-2</v>
      </c>
      <c r="CR24" s="7">
        <f t="shared" ca="1" si="10"/>
        <v>3.5883863635610497E-2</v>
      </c>
      <c r="CS24" s="7">
        <f t="shared" ca="1" si="10"/>
        <v>2.4784795873981323E-2</v>
      </c>
      <c r="CT24" s="7">
        <f t="shared" ca="1" si="10"/>
        <v>4.1135200745362754E-2</v>
      </c>
      <c r="CU24" s="7">
        <f t="shared" ca="1" si="10"/>
        <v>4.7525595491343234E-2</v>
      </c>
      <c r="CV24" s="7">
        <f t="shared" ca="1" si="10"/>
        <v>7.5607665352597914E-2</v>
      </c>
      <c r="CW24" s="7">
        <f t="shared" ca="1" si="10"/>
        <v>4.0034544813203579E-2</v>
      </c>
      <c r="CX24" s="7">
        <f t="shared" ca="1" si="10"/>
        <v>5.865667885993478E-2</v>
      </c>
      <c r="CY24" s="7">
        <f t="shared" ca="1" si="10"/>
        <v>4.1494777084456994E-2</v>
      </c>
      <c r="CZ24" s="7">
        <f t="shared" ca="1" si="10"/>
        <v>2.4640199999999998E-2</v>
      </c>
      <c r="DA24" s="7">
        <f t="shared" ref="DA24:DA28" ca="1" si="17">BK24*CF24</f>
        <v>8.4352359999999987E-2</v>
      </c>
      <c r="DB24" s="7">
        <f t="shared" ca="1" si="11"/>
        <v>4.7005919999999986E-2</v>
      </c>
      <c r="DC24" s="7">
        <f t="shared" ca="1" si="11"/>
        <v>6.1790039999999984E-2</v>
      </c>
      <c r="DD24" s="7">
        <f t="shared" ca="1" si="11"/>
        <v>3.1463639999999994E-2</v>
      </c>
      <c r="DE24" s="7">
        <f t="shared" ca="1" si="11"/>
        <v>3.5633519999999995E-2</v>
      </c>
      <c r="DG24" s="41"/>
    </row>
    <row r="25" spans="1:111" x14ac:dyDescent="0.3">
      <c r="A25" s="6">
        <v>17</v>
      </c>
      <c r="B25" s="61" t="s">
        <v>87</v>
      </c>
      <c r="C25" s="60">
        <v>0</v>
      </c>
      <c r="D25" s="59">
        <v>1.24</v>
      </c>
      <c r="E25" s="60">
        <v>0.18</v>
      </c>
      <c r="G25" s="54">
        <v>0</v>
      </c>
      <c r="H25" s="54">
        <v>1</v>
      </c>
      <c r="AK25" s="27"/>
      <c r="AL25" s="21"/>
      <c r="AM25" s="21"/>
      <c r="AN25" s="33">
        <v>1</v>
      </c>
      <c r="AO25" s="21"/>
      <c r="AP25" s="25">
        <f t="shared" ca="1" si="12"/>
        <v>9.3294995817056248E-2</v>
      </c>
      <c r="AQ25" s="25">
        <f t="shared" ca="1" si="3"/>
        <v>0.30933873988383936</v>
      </c>
      <c r="AS25" s="45">
        <f t="shared" si="4"/>
        <v>8.5928000000000004E-2</v>
      </c>
      <c r="AT25" s="45">
        <f t="shared" si="5"/>
        <v>0.28673723162505421</v>
      </c>
      <c r="AV25" s="46">
        <f t="shared" ca="1" si="13"/>
        <v>0.44810760100485231</v>
      </c>
      <c r="AW25" s="46">
        <f t="shared" ca="1" si="13"/>
        <v>0.40018550622948695</v>
      </c>
      <c r="AX25" s="46">
        <f t="shared" ca="1" si="13"/>
        <v>0.36378656503277373</v>
      </c>
      <c r="AY25" s="46">
        <f t="shared" ca="1" si="13"/>
        <v>0.27404737193236423</v>
      </c>
      <c r="AZ25" s="46">
        <f t="shared" ca="1" si="13"/>
        <v>0.54390397684745806</v>
      </c>
      <c r="BA25" s="46">
        <f t="shared" ca="1" si="13"/>
        <v>0.41443217239082142</v>
      </c>
      <c r="BB25" s="46">
        <f t="shared" ca="1" si="13"/>
        <v>0.41612219535141648</v>
      </c>
      <c r="BC25" s="46">
        <f t="shared" ca="1" si="13"/>
        <v>0.12332384878046312</v>
      </c>
      <c r="BD25" s="46">
        <f t="shared" ca="1" si="13"/>
        <v>0.34730110818836296</v>
      </c>
      <c r="BE25" s="46">
        <f t="shared" ca="1" si="13"/>
        <v>0.4500878366726801</v>
      </c>
      <c r="BF25" s="46">
        <f t="shared" ca="1" si="14"/>
        <v>0.40053705748008944</v>
      </c>
      <c r="BG25" s="46">
        <f t="shared" ca="1" si="14"/>
        <v>0.48629079007707021</v>
      </c>
      <c r="BH25" s="46">
        <f t="shared" ca="1" si="14"/>
        <v>0.49013588944035869</v>
      </c>
      <c r="BI25" s="46">
        <f t="shared" ca="1" si="14"/>
        <v>0.35764131237972518</v>
      </c>
      <c r="BJ25" s="46">
        <f t="shared" ca="1" si="14"/>
        <v>0.4787487717952798</v>
      </c>
      <c r="BK25" s="46">
        <f t="shared" ca="1" si="14"/>
        <v>0.56444268660457764</v>
      </c>
      <c r="BL25" s="46">
        <f t="shared" ca="1" si="14"/>
        <v>1</v>
      </c>
      <c r="BM25" s="46">
        <f t="shared" ca="1" si="14"/>
        <v>0.72048128679294943</v>
      </c>
      <c r="BN25" s="46">
        <f t="shared" ca="1" si="14"/>
        <v>0.51385357994420444</v>
      </c>
      <c r="BO25" s="46">
        <f t="shared" ca="1" si="14"/>
        <v>0.48837983949266855</v>
      </c>
      <c r="BQ25" s="7">
        <f t="shared" ca="1" si="15"/>
        <v>0.10088259162851312</v>
      </c>
      <c r="BR25" s="7">
        <f t="shared" ca="1" si="15"/>
        <v>0.17776843184927327</v>
      </c>
      <c r="BS25" s="7">
        <f t="shared" ca="1" si="15"/>
        <v>0.22691276626070508</v>
      </c>
      <c r="BT25" s="7">
        <f t="shared" ca="1" si="15"/>
        <v>0.14264820162199413</v>
      </c>
      <c r="BU25" s="7">
        <f t="shared" ca="1" si="15"/>
        <v>0.10143655049231237</v>
      </c>
      <c r="BV25" s="7">
        <f t="shared" ca="1" si="15"/>
        <v>0.16937516366905939</v>
      </c>
      <c r="BW25" s="7">
        <f t="shared" ca="1" si="15"/>
        <v>9.1393253916307371E-2</v>
      </c>
      <c r="BX25" s="7">
        <f t="shared" ca="1" si="15"/>
        <v>0.21299730075678672</v>
      </c>
      <c r="BY25" s="7">
        <f t="shared" ca="1" si="15"/>
        <v>0.12552877057965642</v>
      </c>
      <c r="BZ25" s="7">
        <f t="shared" ca="1" si="15"/>
        <v>0.11190928321850351</v>
      </c>
      <c r="CA25" s="7">
        <f t="shared" ca="1" si="16"/>
        <v>0.20005939373162077</v>
      </c>
      <c r="CB25" s="7">
        <f t="shared" ca="1" si="16"/>
        <v>8.7251856000269704E-2</v>
      </c>
      <c r="CC25" s="7">
        <f t="shared" ca="1" si="16"/>
        <v>0.12683432115081697</v>
      </c>
      <c r="CD25" s="7">
        <f t="shared" ca="1" si="16"/>
        <v>0.12296501847790883</v>
      </c>
      <c r="CE25" s="7">
        <f t="shared" ca="1" si="16"/>
        <v>5.4547189545933523E-2</v>
      </c>
      <c r="CF25" s="7">
        <f t="shared" ca="1" si="16"/>
        <v>8.3278464077133407E-2</v>
      </c>
      <c r="CG25" s="7">
        <f t="shared" ca="1" si="16"/>
        <v>8.2218239999999984E-2</v>
      </c>
      <c r="CH25" s="7">
        <f t="shared" ca="1" si="16"/>
        <v>9.08932420597615E-2</v>
      </c>
      <c r="CI25" s="7">
        <f t="shared" ca="1" si="16"/>
        <v>6.4894128019154396E-2</v>
      </c>
      <c r="CJ25" s="7">
        <f t="shared" ca="1" si="16"/>
        <v>7.7328007722904629E-2</v>
      </c>
      <c r="CK25" s="41"/>
      <c r="CL25" s="7">
        <f t="shared" ref="CL25:CZ28" ca="1" si="18">AV25*BQ25</f>
        <v>4.520625611780521E-2</v>
      </c>
      <c r="CM25" s="7">
        <f t="shared" ca="1" si="18"/>
        <v>7.1140349891223476E-2</v>
      </c>
      <c r="CN25" s="7">
        <f t="shared" ca="1" si="18"/>
        <v>8.2547815800066579E-2</v>
      </c>
      <c r="CO25" s="7">
        <f t="shared" ca="1" si="18"/>
        <v>3.9092364765385502E-2</v>
      </c>
      <c r="CP25" s="7">
        <f t="shared" ca="1" si="18"/>
        <v>5.5171743210456682E-2</v>
      </c>
      <c r="CQ25" s="7">
        <f t="shared" ca="1" si="18"/>
        <v>7.0194517028419209E-2</v>
      </c>
      <c r="CR25" s="7">
        <f t="shared" ca="1" si="18"/>
        <v>3.8030761459963265E-2</v>
      </c>
      <c r="CS25" s="7">
        <f t="shared" ca="1" si="18"/>
        <v>2.6267646909176788E-2</v>
      </c>
      <c r="CT25" s="7">
        <f t="shared" ca="1" si="18"/>
        <v>4.3596281131837444E-2</v>
      </c>
      <c r="CU25" s="7">
        <f t="shared" ca="1" si="18"/>
        <v>5.0369007187406507E-2</v>
      </c>
      <c r="CV25" s="7">
        <f t="shared" ca="1" si="18"/>
        <v>8.0131200886514029E-2</v>
      </c>
      <c r="CW25" s="7">
        <f t="shared" ca="1" si="18"/>
        <v>4.2429773990061911E-2</v>
      </c>
      <c r="CX25" s="7">
        <f t="shared" ca="1" si="18"/>
        <v>6.2166052808819774E-2</v>
      </c>
      <c r="CY25" s="7">
        <f t="shared" ca="1" si="18"/>
        <v>4.3977370585236472E-2</v>
      </c>
      <c r="CZ25" s="7">
        <f t="shared" ca="1" si="18"/>
        <v>2.6114399999999999E-2</v>
      </c>
      <c r="DA25" s="7">
        <f t="shared" ca="1" si="17"/>
        <v>4.7005919999999986E-2</v>
      </c>
      <c r="DB25" s="7">
        <f t="shared" ca="1" si="11"/>
        <v>8.2218239999999984E-2</v>
      </c>
      <c r="DC25" s="7">
        <f t="shared" ca="1" si="11"/>
        <v>6.5486879999999997E-2</v>
      </c>
      <c r="DD25" s="7">
        <f t="shared" ca="1" si="11"/>
        <v>3.3346079999999993E-2</v>
      </c>
      <c r="DE25" s="7">
        <f t="shared" ca="1" si="11"/>
        <v>3.7765439999999997E-2</v>
      </c>
      <c r="DG25" s="41"/>
    </row>
    <row r="26" spans="1:111" x14ac:dyDescent="0.3">
      <c r="A26" s="6">
        <v>18</v>
      </c>
      <c r="B26" s="61" t="s">
        <v>88</v>
      </c>
      <c r="C26" s="60">
        <v>0</v>
      </c>
      <c r="D26" s="59">
        <v>1.63</v>
      </c>
      <c r="E26" s="60">
        <v>0.12</v>
      </c>
      <c r="G26" s="54">
        <v>0</v>
      </c>
      <c r="H26" s="54">
        <v>1</v>
      </c>
      <c r="AK26" s="27"/>
      <c r="AL26" s="21"/>
      <c r="AM26" s="21"/>
      <c r="AN26" s="33">
        <v>1</v>
      </c>
      <c r="AO26" s="21"/>
      <c r="AP26" s="25">
        <f t="shared" ca="1" si="12"/>
        <v>9.5529997432019259E-2</v>
      </c>
      <c r="AQ26" s="25">
        <f t="shared" ca="1" si="3"/>
        <v>0.33433570421859149</v>
      </c>
      <c r="AS26" s="45">
        <f t="shared" si="4"/>
        <v>9.5561000000000007E-2</v>
      </c>
      <c r="AT26" s="45">
        <f t="shared" si="5"/>
        <v>0.3169914194422303</v>
      </c>
      <c r="AV26" s="46">
        <f t="shared" ca="1" si="13"/>
        <v>0.53282526703014832</v>
      </c>
      <c r="AW26" s="46">
        <f t="shared" ca="1" si="13"/>
        <v>0.47584318752944454</v>
      </c>
      <c r="AX26" s="46">
        <f t="shared" ca="1" si="13"/>
        <v>0.43256278898395462</v>
      </c>
      <c r="AY26" s="46">
        <f t="shared" ca="1" si="13"/>
        <v>0.32585781584899104</v>
      </c>
      <c r="AZ26" s="46">
        <f t="shared" ca="1" si="13"/>
        <v>0.64673257282990881</v>
      </c>
      <c r="BA26" s="46">
        <f t="shared" ca="1" si="13"/>
        <v>0.49278327889294771</v>
      </c>
      <c r="BB26" s="46">
        <f t="shared" ca="1" si="13"/>
        <v>0.494792811722221</v>
      </c>
      <c r="BC26" s="46">
        <f t="shared" ca="1" si="13"/>
        <v>0.146639027122694</v>
      </c>
      <c r="BD26" s="46">
        <f t="shared" ca="1" si="13"/>
        <v>0.41296064894986484</v>
      </c>
      <c r="BE26" s="46">
        <f t="shared" ca="1" si="13"/>
        <v>0.53517987917269372</v>
      </c>
      <c r="BF26" s="46">
        <f t="shared" ca="1" si="14"/>
        <v>0.47626120183796555</v>
      </c>
      <c r="BG26" s="46">
        <f t="shared" ca="1" si="14"/>
        <v>0.57822723715483448</v>
      </c>
      <c r="BH26" s="46">
        <f t="shared" ca="1" si="14"/>
        <v>0.58279927764334094</v>
      </c>
      <c r="BI26" s="46">
        <f t="shared" ca="1" si="14"/>
        <v>0.42525573621697238</v>
      </c>
      <c r="BJ26" s="46">
        <f t="shared" ca="1" si="14"/>
        <v>0.56925935110262327</v>
      </c>
      <c r="BK26" s="46">
        <f t="shared" ca="1" si="14"/>
        <v>0.67115425968871656</v>
      </c>
      <c r="BL26" s="46">
        <f t="shared" ca="1" si="14"/>
        <v>0.72048128679294943</v>
      </c>
      <c r="BM26" s="46">
        <f t="shared" ca="1" si="14"/>
        <v>1</v>
      </c>
      <c r="BN26" s="46">
        <f t="shared" ca="1" si="14"/>
        <v>0.61100095230297968</v>
      </c>
      <c r="BO26" s="46">
        <f t="shared" ca="1" si="14"/>
        <v>0.58071123499421351</v>
      </c>
      <c r="BQ26" s="7">
        <f t="shared" ca="1" si="15"/>
        <v>0.11152690474165482</v>
      </c>
      <c r="BR26" s="7">
        <f t="shared" ca="1" si="15"/>
        <v>0.19652511543253923</v>
      </c>
      <c r="BS26" s="7">
        <f t="shared" ca="1" si="15"/>
        <v>0.25085476154907177</v>
      </c>
      <c r="BT26" s="7">
        <f t="shared" ca="1" si="15"/>
        <v>0.15769928326631144</v>
      </c>
      <c r="BU26" s="7">
        <f t="shared" ca="1" si="15"/>
        <v>0.11213931285326674</v>
      </c>
      <c r="BV26" s="7">
        <f t="shared" ca="1" si="15"/>
        <v>0.18724625764652147</v>
      </c>
      <c r="BW26" s="7">
        <f t="shared" ca="1" si="15"/>
        <v>0.10103632905355518</v>
      </c>
      <c r="BX26" s="7">
        <f t="shared" ca="1" si="15"/>
        <v>0.23547104895169782</v>
      </c>
      <c r="BY26" s="7">
        <f t="shared" ca="1" si="15"/>
        <v>0.13877354866463915</v>
      </c>
      <c r="BZ26" s="7">
        <f t="shared" ca="1" si="15"/>
        <v>0.12371704342386612</v>
      </c>
      <c r="CA26" s="7">
        <f t="shared" ca="1" si="16"/>
        <v>0.22116803887771549</v>
      </c>
      <c r="CB26" s="7">
        <f t="shared" ca="1" si="16"/>
        <v>9.645796440784879E-2</v>
      </c>
      <c r="CC26" s="7">
        <f t="shared" ca="1" si="16"/>
        <v>0.1402168503466717</v>
      </c>
      <c r="CD26" s="7">
        <f t="shared" ca="1" si="16"/>
        <v>0.13593929022800311</v>
      </c>
      <c r="CE26" s="7">
        <f t="shared" ca="1" si="16"/>
        <v>6.0302566718507089E-2</v>
      </c>
      <c r="CF26" s="7">
        <f t="shared" ca="1" si="16"/>
        <v>9.2065332385223034E-2</v>
      </c>
      <c r="CG26" s="7">
        <f t="shared" ca="1" si="16"/>
        <v>9.08932420597615E-2</v>
      </c>
      <c r="CH26" s="7">
        <f t="shared" ca="1" si="16"/>
        <v>0.10048355999999999</v>
      </c>
      <c r="CI26" s="7">
        <f t="shared" ca="1" si="16"/>
        <v>7.1741230246501905E-2</v>
      </c>
      <c r="CJ26" s="7">
        <f t="shared" ca="1" si="16"/>
        <v>8.5487032122763498E-2</v>
      </c>
      <c r="CK26" s="41"/>
      <c r="CL26" s="7">
        <f t="shared" ca="1" si="18"/>
        <v>5.9424352800018142E-2</v>
      </c>
      <c r="CM26" s="7">
        <f t="shared" ca="1" si="18"/>
        <v>9.3515137357011502E-2</v>
      </c>
      <c r="CN26" s="7">
        <f t="shared" ca="1" si="18"/>
        <v>0.10851043528557139</v>
      </c>
      <c r="CO26" s="7">
        <f t="shared" ca="1" si="18"/>
        <v>5.1387544006111591E-2</v>
      </c>
      <c r="CP26" s="7">
        <f t="shared" ca="1" si="18"/>
        <v>7.2524146316971266E-2</v>
      </c>
      <c r="CQ26" s="7">
        <f t="shared" ca="1" si="18"/>
        <v>9.227182480348653E-2</v>
      </c>
      <c r="CR26" s="7">
        <f t="shared" ca="1" si="18"/>
        <v>4.99920493385001E-2</v>
      </c>
      <c r="CS26" s="7">
        <f t="shared" ca="1" si="18"/>
        <v>3.4529245533837225E-2</v>
      </c>
      <c r="CT26" s="7">
        <f t="shared" ca="1" si="18"/>
        <v>5.7308014713625031E-2</v>
      </c>
      <c r="CU26" s="7">
        <f t="shared" ca="1" si="18"/>
        <v>6.6210872351187569E-2</v>
      </c>
      <c r="CV26" s="7">
        <f t="shared" ca="1" si="18"/>
        <v>0.10533375600404667</v>
      </c>
      <c r="CW26" s="7">
        <f t="shared" ca="1" si="18"/>
        <v>5.5774622261129767E-2</v>
      </c>
      <c r="CX26" s="7">
        <f t="shared" ca="1" si="18"/>
        <v>8.171827909546471E-2</v>
      </c>
      <c r="CY26" s="7">
        <f t="shared" ca="1" si="18"/>
        <v>5.7808962946722144E-2</v>
      </c>
      <c r="CZ26" s="7">
        <f t="shared" ca="1" si="18"/>
        <v>3.4327799999999992E-2</v>
      </c>
      <c r="DA26" s="7">
        <f t="shared" ca="1" si="17"/>
        <v>6.1790039999999984E-2</v>
      </c>
      <c r="DB26" s="7">
        <f t="shared" ca="1" si="11"/>
        <v>6.5486879999999997E-2</v>
      </c>
      <c r="DC26" s="7">
        <f t="shared" ca="1" si="11"/>
        <v>0.10048355999999999</v>
      </c>
      <c r="DD26" s="7">
        <f t="shared" ca="1" si="11"/>
        <v>4.3833959999999991E-2</v>
      </c>
      <c r="DE26" s="7">
        <f t="shared" ca="1" si="11"/>
        <v>4.9643279999999991E-2</v>
      </c>
      <c r="DG26" s="41"/>
    </row>
    <row r="27" spans="1:111" x14ac:dyDescent="0.3">
      <c r="A27" s="6">
        <v>19</v>
      </c>
      <c r="B27" s="61" t="s">
        <v>89</v>
      </c>
      <c r="C27" s="60">
        <v>0</v>
      </c>
      <c r="D27" s="59">
        <v>0.83</v>
      </c>
      <c r="E27" s="60">
        <v>0.17</v>
      </c>
      <c r="G27" s="54">
        <v>0</v>
      </c>
      <c r="H27" s="54">
        <v>1</v>
      </c>
      <c r="AK27" s="27"/>
      <c r="AL27" s="21"/>
      <c r="AM27" s="21"/>
      <c r="AN27" s="33">
        <v>1</v>
      </c>
      <c r="AO27" s="21"/>
      <c r="AP27" s="25">
        <f t="shared" ca="1" si="12"/>
        <v>9.7764999046982271E-2</v>
      </c>
      <c r="AQ27" s="25">
        <f t="shared" ca="1" si="3"/>
        <v>0.36078924846082899</v>
      </c>
      <c r="AS27" s="45">
        <f t="shared" si="4"/>
        <v>7.5801000000000007E-2</v>
      </c>
      <c r="AT27" s="45">
        <f t="shared" si="5"/>
        <v>0.22631915517693152</v>
      </c>
      <c r="AV27" s="46">
        <f t="shared" ca="1" si="13"/>
        <v>0.38001565893112627</v>
      </c>
      <c r="AW27" s="46">
        <f t="shared" ca="1" si="13"/>
        <v>0.33937553949868854</v>
      </c>
      <c r="AX27" s="46">
        <f t="shared" ca="1" si="13"/>
        <v>0.30850757923145233</v>
      </c>
      <c r="AY27" s="46">
        <f t="shared" ca="1" si="13"/>
        <v>0.23240465546598282</v>
      </c>
      <c r="AZ27" s="46">
        <f t="shared" ca="1" si="13"/>
        <v>0.46125534959338627</v>
      </c>
      <c r="BA27" s="46">
        <f t="shared" ca="1" si="13"/>
        <v>0.35145736140202338</v>
      </c>
      <c r="BB27" s="46">
        <f t="shared" ca="1" si="13"/>
        <v>0.35289057786061312</v>
      </c>
      <c r="BC27" s="46">
        <f t="shared" ca="1" si="13"/>
        <v>0.10458424171145178</v>
      </c>
      <c r="BD27" s="46">
        <f t="shared" ca="1" si="13"/>
        <v>0.29452716084207192</v>
      </c>
      <c r="BE27" s="46">
        <f t="shared" ca="1" si="13"/>
        <v>0.38169498898591897</v>
      </c>
      <c r="BF27" s="46">
        <f t="shared" ca="1" si="14"/>
        <v>0.33967367097391055</v>
      </c>
      <c r="BG27" s="46">
        <f t="shared" ca="1" si="14"/>
        <v>0.41239674267715609</v>
      </c>
      <c r="BH27" s="46">
        <f t="shared" ca="1" si="14"/>
        <v>0.41565756209847166</v>
      </c>
      <c r="BI27" s="46">
        <f t="shared" ca="1" si="14"/>
        <v>0.30329612503828596</v>
      </c>
      <c r="BJ27" s="46">
        <f t="shared" ca="1" si="14"/>
        <v>0.40600076760197734</v>
      </c>
      <c r="BK27" s="46">
        <f t="shared" ca="1" si="14"/>
        <v>0.47867311109630367</v>
      </c>
      <c r="BL27" s="46">
        <f t="shared" ca="1" si="14"/>
        <v>0.51385357994420444</v>
      </c>
      <c r="BM27" s="46">
        <f t="shared" ca="1" si="14"/>
        <v>0.61100095230297968</v>
      </c>
      <c r="BN27" s="46">
        <f t="shared" ca="1" si="14"/>
        <v>1</v>
      </c>
      <c r="BO27" s="46">
        <f t="shared" ca="1" si="14"/>
        <v>0.41416835174700473</v>
      </c>
      <c r="BQ27" s="7">
        <f t="shared" ca="1" si="15"/>
        <v>7.9625735311833548E-2</v>
      </c>
      <c r="BR27" s="7">
        <f t="shared" ca="1" si="15"/>
        <v>0.14031104745359504</v>
      </c>
      <c r="BS27" s="7">
        <f t="shared" ca="1" si="15"/>
        <v>0.17910023497100713</v>
      </c>
      <c r="BT27" s="7">
        <f t="shared" ca="1" si="15"/>
        <v>0.11259096105389554</v>
      </c>
      <c r="BU27" s="7">
        <f t="shared" ca="1" si="15"/>
        <v>8.0062970132534328E-2</v>
      </c>
      <c r="BV27" s="7">
        <f t="shared" ca="1" si="15"/>
        <v>0.13368631527998132</v>
      </c>
      <c r="BW27" s="7">
        <f t="shared" ca="1" si="15"/>
        <v>7.2135885172583791E-2</v>
      </c>
      <c r="BX27" s="7">
        <f t="shared" ca="1" si="15"/>
        <v>0.16811688140059008</v>
      </c>
      <c r="BY27" s="7">
        <f t="shared" ca="1" si="15"/>
        <v>9.9078745885137987E-2</v>
      </c>
      <c r="BZ27" s="7">
        <f t="shared" ca="1" si="15"/>
        <v>8.8329005239146136E-2</v>
      </c>
      <c r="CA27" s="7">
        <f t="shared" ca="1" si="16"/>
        <v>0.15790510607201291</v>
      </c>
      <c r="CB27" s="7">
        <f t="shared" ca="1" si="16"/>
        <v>6.8867116508335963E-2</v>
      </c>
      <c r="CC27" s="7">
        <f t="shared" ca="1" si="16"/>
        <v>0.10010920537807255</v>
      </c>
      <c r="CD27" s="7">
        <f t="shared" ca="1" si="16"/>
        <v>9.7055199077274126E-2</v>
      </c>
      <c r="CE27" s="7">
        <f t="shared" ca="1" si="16"/>
        <v>4.3053613182170901E-2</v>
      </c>
      <c r="CF27" s="7">
        <f t="shared" ca="1" si="16"/>
        <v>6.5730953485018007E-2</v>
      </c>
      <c r="CG27" s="7">
        <f t="shared" ca="1" si="16"/>
        <v>6.4894128019154396E-2</v>
      </c>
      <c r="CH27" s="7">
        <f t="shared" ca="1" si="16"/>
        <v>7.1741230246501905E-2</v>
      </c>
      <c r="CI27" s="7">
        <f t="shared" ca="1" si="16"/>
        <v>5.1220360000000006E-2</v>
      </c>
      <c r="CJ27" s="7">
        <f t="shared" ca="1" si="16"/>
        <v>6.1034311031668079E-2</v>
      </c>
      <c r="CK27" s="41"/>
      <c r="CL27" s="7">
        <f t="shared" ca="1" si="18"/>
        <v>3.0259026272401873E-2</v>
      </c>
      <c r="CM27" s="7">
        <f t="shared" ca="1" si="18"/>
        <v>4.7618137427189906E-2</v>
      </c>
      <c r="CN27" s="7">
        <f t="shared" ca="1" si="18"/>
        <v>5.5253779930689716E-2</v>
      </c>
      <c r="CO27" s="7">
        <f t="shared" ca="1" si="18"/>
        <v>2.6166663512314486E-2</v>
      </c>
      <c r="CP27" s="7">
        <f t="shared" ca="1" si="18"/>
        <v>3.6929473277966966E-2</v>
      </c>
      <c r="CQ27" s="7">
        <f t="shared" ca="1" si="18"/>
        <v>4.6985039623861233E-2</v>
      </c>
      <c r="CR27" s="7">
        <f t="shared" ca="1" si="18"/>
        <v>2.5456074203039927E-2</v>
      </c>
      <c r="CS27" s="7">
        <f t="shared" ca="1" si="18"/>
        <v>1.7582376560174785E-2</v>
      </c>
      <c r="CT27" s="7">
        <f t="shared" ca="1" si="18"/>
        <v>2.9181381725342806E-2</v>
      </c>
      <c r="CU27" s="7">
        <f t="shared" ca="1" si="18"/>
        <v>3.3714738681893064E-2</v>
      </c>
      <c r="CV27" s="7">
        <f t="shared" ca="1" si="18"/>
        <v>5.3636207045005359E-2</v>
      </c>
      <c r="CW27" s="7">
        <f t="shared" ca="1" si="18"/>
        <v>2.8400574525605956E-2</v>
      </c>
      <c r="CX27" s="7">
        <f t="shared" ca="1" si="18"/>
        <v>4.1611148251064843E-2</v>
      </c>
      <c r="CY27" s="7">
        <f t="shared" ca="1" si="18"/>
        <v>2.9436465794956668E-2</v>
      </c>
      <c r="CZ27" s="7">
        <f t="shared" ca="1" si="18"/>
        <v>1.7479799999999997E-2</v>
      </c>
      <c r="DA27" s="7">
        <f t="shared" ca="1" si="17"/>
        <v>3.1463639999999994E-2</v>
      </c>
      <c r="DB27" s="7">
        <f t="shared" ca="1" si="11"/>
        <v>3.3346079999999993E-2</v>
      </c>
      <c r="DC27" s="7">
        <f t="shared" ca="1" si="11"/>
        <v>4.3833959999999991E-2</v>
      </c>
      <c r="DD27" s="7">
        <f t="shared" ca="1" si="11"/>
        <v>5.1220360000000006E-2</v>
      </c>
      <c r="DE27" s="7">
        <f t="shared" ca="1" si="11"/>
        <v>2.5278479999999996E-2</v>
      </c>
      <c r="DG27" s="41"/>
    </row>
    <row r="28" spans="1:111" x14ac:dyDescent="0.3">
      <c r="A28" s="6">
        <v>20</v>
      </c>
      <c r="B28" s="61" t="s">
        <v>90</v>
      </c>
      <c r="C28" s="60">
        <v>0</v>
      </c>
      <c r="D28" s="59">
        <v>0.94</v>
      </c>
      <c r="E28" s="60">
        <v>0.21</v>
      </c>
      <c r="G28" s="54">
        <v>0</v>
      </c>
      <c r="H28" s="54">
        <v>1</v>
      </c>
      <c r="AK28" s="28"/>
      <c r="AL28" s="29"/>
      <c r="AM28" s="29"/>
      <c r="AN28" s="33">
        <v>1</v>
      </c>
      <c r="AO28" s="29"/>
      <c r="AP28" s="25">
        <f t="shared" ca="1" si="12"/>
        <v>0.10000000066194528</v>
      </c>
      <c r="AQ28" s="25">
        <f t="shared" ca="1" si="3"/>
        <v>0.38840186928191489</v>
      </c>
      <c r="AS28" s="45">
        <f t="shared" si="4"/>
        <v>7.8518000000000004E-2</v>
      </c>
      <c r="AT28" s="45">
        <f t="shared" si="5"/>
        <v>0.26968247996486533</v>
      </c>
      <c r="AV28" s="46">
        <f t="shared" ca="1" si="13"/>
        <v>0.36117678995957597</v>
      </c>
      <c r="AW28" s="46">
        <f t="shared" ca="1" si="13"/>
        <v>0.32255136088787045</v>
      </c>
      <c r="AX28" s="46">
        <f t="shared" ca="1" si="13"/>
        <v>0.29321364666504507</v>
      </c>
      <c r="AY28" s="46">
        <f t="shared" ca="1" si="13"/>
        <v>0.2208834437742945</v>
      </c>
      <c r="AZ28" s="46">
        <f t="shared" ca="1" si="13"/>
        <v>0.43838911003405456</v>
      </c>
      <c r="BA28" s="46">
        <f t="shared" ca="1" si="13"/>
        <v>0.3340342394202539</v>
      </c>
      <c r="BB28" s="46">
        <f t="shared" ca="1" si="13"/>
        <v>0.33539640570910273</v>
      </c>
      <c r="BC28" s="46">
        <f t="shared" ca="1" si="13"/>
        <v>9.939959002727454E-2</v>
      </c>
      <c r="BD28" s="46">
        <f t="shared" ca="1" si="13"/>
        <v>0.27992629253240014</v>
      </c>
      <c r="BE28" s="46">
        <f t="shared" ca="1" si="13"/>
        <v>0.36277286902689299</v>
      </c>
      <c r="BF28" s="46">
        <f t="shared" ca="1" si="14"/>
        <v>0.32283471281476067</v>
      </c>
      <c r="BG28" s="46">
        <f t="shared" ca="1" si="14"/>
        <v>0.39195261618657601</v>
      </c>
      <c r="BH28" s="46">
        <f t="shared" ca="1" si="14"/>
        <v>0.39505178398019064</v>
      </c>
      <c r="BI28" s="46">
        <f t="shared" ca="1" si="14"/>
        <v>0.28826054472760521</v>
      </c>
      <c r="BJ28" s="46">
        <f t="shared" ca="1" si="14"/>
        <v>0.38587371472022042</v>
      </c>
      <c r="BK28" s="46">
        <f t="shared" ca="1" si="14"/>
        <v>0.45494340467970057</v>
      </c>
      <c r="BL28" s="46">
        <f t="shared" ca="1" si="14"/>
        <v>0.48837983949266855</v>
      </c>
      <c r="BM28" s="46">
        <f t="shared" ca="1" si="14"/>
        <v>0.58071123499421351</v>
      </c>
      <c r="BN28" s="46">
        <f t="shared" ca="1" si="14"/>
        <v>0.41416835174700473</v>
      </c>
      <c r="BO28" s="46">
        <f t="shared" ca="1" si="14"/>
        <v>1</v>
      </c>
      <c r="BQ28" s="7">
        <f t="shared" ca="1" si="15"/>
        <v>9.4882228378475361E-2</v>
      </c>
      <c r="BR28" s="7">
        <f t="shared" ca="1" si="15"/>
        <v>0.1671950004151056</v>
      </c>
      <c r="BS28" s="7">
        <f t="shared" ca="1" si="15"/>
        <v>0.21341629475203383</v>
      </c>
      <c r="BT28" s="7">
        <f t="shared" ca="1" si="15"/>
        <v>0.13416367507604177</v>
      </c>
      <c r="BU28" s="7">
        <f t="shared" ca="1" si="15"/>
        <v>9.540323850102285E-2</v>
      </c>
      <c r="BV28" s="7">
        <f t="shared" ca="1" si="15"/>
        <v>0.15930095273590461</v>
      </c>
      <c r="BW28" s="7">
        <f t="shared" ca="1" si="15"/>
        <v>8.5957303934766804E-2</v>
      </c>
      <c r="BX28" s="7">
        <f t="shared" ca="1" si="15"/>
        <v>0.20032850274925182</v>
      </c>
      <c r="BY28" s="7">
        <f t="shared" ca="1" si="15"/>
        <v>0.1180624851715434</v>
      </c>
      <c r="BZ28" s="7">
        <f t="shared" ca="1" si="15"/>
        <v>0.10525306692268238</v>
      </c>
      <c r="CA28" s="7">
        <f t="shared" ca="1" si="16"/>
        <v>0.18816012533859144</v>
      </c>
      <c r="CB28" s="7">
        <f t="shared" ca="1" si="16"/>
        <v>8.2062230894587612E-2</v>
      </c>
      <c r="CC28" s="7">
        <f t="shared" ca="1" si="16"/>
        <v>0.11929038331980522</v>
      </c>
      <c r="CD28" s="7">
        <f t="shared" ca="1" si="16"/>
        <v>0.11565122165722407</v>
      </c>
      <c r="CE28" s="7">
        <f t="shared" ca="1" si="16"/>
        <v>5.1302794787028892E-2</v>
      </c>
      <c r="CF28" s="7">
        <f t="shared" ca="1" si="16"/>
        <v>7.8325171072844771E-2</v>
      </c>
      <c r="CG28" s="7">
        <f t="shared" ca="1" si="16"/>
        <v>7.7328007722904629E-2</v>
      </c>
      <c r="CH28" s="7">
        <f t="shared" ca="1" si="16"/>
        <v>8.5487032122763498E-2</v>
      </c>
      <c r="CI28" s="7">
        <f t="shared" ca="1" si="16"/>
        <v>6.1034311031668079E-2</v>
      </c>
      <c r="CJ28" s="7">
        <f t="shared" ca="1" si="16"/>
        <v>7.2728639999999983E-2</v>
      </c>
      <c r="CK28" s="41"/>
      <c r="CL28" s="7">
        <f t="shared" ca="1" si="18"/>
        <v>3.4269258669949114E-2</v>
      </c>
      <c r="CM28" s="7">
        <f t="shared" ca="1" si="18"/>
        <v>5.3928974917540375E-2</v>
      </c>
      <c r="CN28" s="7">
        <f t="shared" ca="1" si="18"/>
        <v>6.2576570041985954E-2</v>
      </c>
      <c r="CO28" s="7">
        <f t="shared" ca="1" si="18"/>
        <v>2.9634534580211588E-2</v>
      </c>
      <c r="CP28" s="7">
        <f t="shared" ca="1" si="18"/>
        <v>4.1823740820830055E-2</v>
      </c>
      <c r="CQ28" s="7">
        <f t="shared" ca="1" si="18"/>
        <v>5.3211972586059711E-2</v>
      </c>
      <c r="CR28" s="7">
        <f t="shared" ca="1" si="18"/>
        <v>2.8829770784165699E-2</v>
      </c>
      <c r="CS28" s="7">
        <f t="shared" ca="1" si="18"/>
        <v>1.9912571044053372E-2</v>
      </c>
      <c r="CT28" s="7">
        <f t="shared" ca="1" si="18"/>
        <v>3.3048793761231612E-2</v>
      </c>
      <c r="CU28" s="7">
        <f t="shared" ca="1" si="18"/>
        <v>3.8182957061421059E-2</v>
      </c>
      <c r="CV28" s="7">
        <f t="shared" ca="1" si="18"/>
        <v>6.0744620026873544E-2</v>
      </c>
      <c r="CW28" s="7">
        <f t="shared" ca="1" si="18"/>
        <v>3.2164506089240479E-2</v>
      </c>
      <c r="CX28" s="7">
        <f t="shared" ca="1" si="18"/>
        <v>4.7125878742169829E-2</v>
      </c>
      <c r="CY28" s="7">
        <f t="shared" ca="1" si="18"/>
        <v>3.3337684153324422E-2</v>
      </c>
      <c r="CZ28" s="7">
        <f t="shared" ca="1" si="18"/>
        <v>1.9796399999999999E-2</v>
      </c>
      <c r="DA28" s="7">
        <f t="shared" ca="1" si="17"/>
        <v>3.5633519999999995E-2</v>
      </c>
      <c r="DB28" s="7">
        <f t="shared" ca="1" si="11"/>
        <v>3.7765439999999997E-2</v>
      </c>
      <c r="DC28" s="7">
        <f t="shared" ca="1" si="11"/>
        <v>4.9643279999999991E-2</v>
      </c>
      <c r="DD28" s="7">
        <f t="shared" ca="1" si="11"/>
        <v>2.5278479999999996E-2</v>
      </c>
      <c r="DE28" s="7">
        <f t="shared" ca="1" si="11"/>
        <v>7.2728639999999983E-2</v>
      </c>
      <c r="DG28" s="41"/>
    </row>
  </sheetData>
  <mergeCells count="11">
    <mergeCell ref="AP7:AQ7"/>
    <mergeCell ref="CY1:CY2"/>
    <mergeCell ref="E2:J2"/>
    <mergeCell ref="AV7:BO7"/>
    <mergeCell ref="BQ7:CJ7"/>
    <mergeCell ref="CL7:DE7"/>
    <mergeCell ref="G7:H7"/>
    <mergeCell ref="AK1:AQ1"/>
    <mergeCell ref="E1:M1"/>
    <mergeCell ref="G4:H4"/>
    <mergeCell ref="G5:H5"/>
  </mergeCells>
  <conditionalFormatting sqref="CY1:CY2 DF3:DF4">
    <cfRule type="expression" dxfId="32" priority="118">
      <formula>CY1="Error"</formula>
    </cfRule>
  </conditionalFormatting>
  <conditionalFormatting sqref="AS9">
    <cfRule type="expression" dxfId="31" priority="6">
      <formula>$A9&gt;NStocks</formula>
    </cfRule>
  </conditionalFormatting>
  <conditionalFormatting sqref="AT9">
    <cfRule type="expression" dxfId="30" priority="5">
      <formula>$A9&gt;NStocks</formula>
    </cfRule>
  </conditionalFormatting>
  <conditionalFormatting sqref="AS10:AS28">
    <cfRule type="expression" dxfId="29" priority="4">
      <formula>$A10&gt;NStocks</formula>
    </cfRule>
  </conditionalFormatting>
  <conditionalFormatting sqref="AT10:AT28">
    <cfRule type="expression" dxfId="28" priority="3">
      <formula>$A10&gt;NStocks</formula>
    </cfRule>
  </conditionalFormatting>
  <conditionalFormatting sqref="AV9:BO28">
    <cfRule type="expression" dxfId="27" priority="2">
      <formula>OR(AV$8&gt;NStocks,$A9&gt;NStocks)</formula>
    </cfRule>
  </conditionalFormatting>
  <conditionalFormatting sqref="AN9:AN28">
    <cfRule type="expression" dxfId="26" priority="127">
      <formula>A9&gt;$B$2</formula>
    </cfRule>
  </conditionalFormatting>
  <conditionalFormatting sqref="BQ9:CJ28 CL9:DE28">
    <cfRule type="expression" dxfId="25" priority="128">
      <formula>OR($A9&gt;$B$2,BQ$8&gt;$B$2)</formula>
    </cfRule>
  </conditionalFormatting>
  <conditionalFormatting sqref="G9:H28 B9:E28">
    <cfRule type="expression" dxfId="24" priority="130">
      <formula>$A9&gt;$B$2</formula>
    </cfRule>
  </conditionalFormatting>
  <conditionalFormatting sqref="G7:H28">
    <cfRule type="expression" dxfId="23" priority="1">
      <formula>$G$5="No"</formula>
    </cfRule>
  </conditionalFormatting>
  <dataValidations count="10">
    <dataValidation type="decimal" allowBlank="1" showInputMessage="1" showErrorMessage="1" error="Please enter a value between 0% and 10%." sqref="B4" xr:uid="{00000000-0002-0000-0100-000000000000}">
      <formula1>0</formula1>
      <formula2>0.1</formula2>
    </dataValidation>
    <dataValidation type="decimal" allowBlank="1" showInputMessage="1" showErrorMessage="1" error="Please enter a value between -5% and 20%." sqref="B5" xr:uid="{00000000-0002-0000-0100-000001000000}">
      <formula1>-0.05</formula1>
      <formula2>0.2</formula2>
    </dataValidation>
    <dataValidation type="decimal" allowBlank="1" showInputMessage="1" showErrorMessage="1" error="Please enter a value between -2 and 6." sqref="B3" xr:uid="{00000000-0002-0000-0100-000002000000}">
      <formula1>-2</formula1>
      <formula2>6</formula2>
    </dataValidation>
    <dataValidation type="whole" allowBlank="1" showInputMessage="1" showErrorMessage="1" error="Please enter a value between 3 and 20." sqref="B2" xr:uid="{00000000-0002-0000-0100-000003000000}">
      <formula1>3</formula1>
      <formula2>20</formula2>
    </dataValidation>
    <dataValidation type="decimal" allowBlank="1" showInputMessage="1" showErrorMessage="1" error="Please enter a value between 0% and 50%." sqref="B6 E9:E28" xr:uid="{00000000-0002-0000-0100-000004000000}">
      <formula1>0</formula1>
      <formula2>0.5</formula2>
    </dataValidation>
    <dataValidation type="decimal" allowBlank="1" showInputMessage="1" showErrorMessage="1" error="Please enter a value between -20% and 30%." sqref="AS9:AS28" xr:uid="{00000000-0002-0000-0100-000005000000}">
      <formula1>-0.2</formula1>
      <formula2>0.3</formula2>
    </dataValidation>
    <dataValidation type="decimal" allowBlank="1" showInputMessage="1" showErrorMessage="1" error="Please enter a value between 0 and 30%." sqref="AT9:AT28" xr:uid="{00000000-0002-0000-0100-000006000000}">
      <formula1>0</formula1>
      <formula2>0.3</formula2>
    </dataValidation>
    <dataValidation type="decimal" allowBlank="1" showInputMessage="1" showErrorMessage="1" error="Please enter a value between -2 and +4." sqref="D9:D28" xr:uid="{00000000-0002-0000-0100-000007000000}">
      <formula1>-2</formula1>
      <formula2>4</formula2>
    </dataValidation>
    <dataValidation type="decimal" allowBlank="1" showInputMessage="1" showErrorMessage="1" error="Please enter a value between -10% and +10%." sqref="C9:C28" xr:uid="{00000000-0002-0000-0100-000008000000}">
      <formula1>-0.1</formula1>
      <formula2>0.1</formula2>
    </dataValidation>
    <dataValidation type="list" allowBlank="1" showInputMessage="1" showErrorMessage="1" sqref="G5:H5" xr:uid="{00000000-0002-0000-0100-000009000000}">
      <formula1>"Yes,No"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E55"/>
  <sheetViews>
    <sheetView showGridLines="0" tabSelected="1" topLeftCell="G1" zoomScaleNormal="100" workbookViewId="0">
      <selection activeCell="W45" sqref="W45"/>
    </sheetView>
  </sheetViews>
  <sheetFormatPr defaultColWidth="9.109375" defaultRowHeight="14.4" x14ac:dyDescent="0.3"/>
  <cols>
    <col min="1" max="4" width="9.109375" style="2"/>
    <col min="5" max="5" width="9.109375" style="2" customWidth="1"/>
    <col min="6" max="6" width="9.109375" style="2"/>
    <col min="7" max="8" width="9.109375" style="2" customWidth="1"/>
    <col min="9" max="9" width="9.109375" style="2"/>
    <col min="10" max="10" width="9.109375" style="2" customWidth="1"/>
    <col min="11" max="20" width="9.109375" style="2"/>
    <col min="21" max="23" width="9.109375" style="2" customWidth="1"/>
    <col min="24" max="28" width="9.109375" style="2"/>
    <col min="29" max="31" width="9.109375" style="2" hidden="1" customWidth="1"/>
    <col min="32" max="16384" width="9.109375" style="2"/>
  </cols>
  <sheetData>
    <row r="1" spans="1:31" x14ac:dyDescent="0.3">
      <c r="A1" s="18" t="s">
        <v>14</v>
      </c>
      <c r="B1" s="19"/>
      <c r="C1" s="19"/>
      <c r="D1" s="19"/>
      <c r="E1" s="19"/>
      <c r="F1" s="19"/>
      <c r="G1" s="19"/>
      <c r="H1" s="19"/>
      <c r="I1" s="19"/>
    </row>
    <row r="2" spans="1:31" ht="15" customHeight="1" x14ac:dyDescent="0.3">
      <c r="A2" s="69" t="s">
        <v>13</v>
      </c>
      <c r="B2" s="70"/>
      <c r="C2" s="70"/>
      <c r="D2" s="70"/>
      <c r="E2" s="70"/>
      <c r="F2" s="71"/>
      <c r="G2" s="13"/>
    </row>
    <row r="7" spans="1:31" ht="15" customHeight="1" x14ac:dyDescent="0.3">
      <c r="A7" s="87" t="s">
        <v>91</v>
      </c>
      <c r="B7" s="87"/>
      <c r="C7" s="87"/>
      <c r="E7" s="87" t="s">
        <v>92</v>
      </c>
      <c r="F7" s="87"/>
      <c r="G7" s="87"/>
      <c r="I7" s="87" t="s">
        <v>93</v>
      </c>
      <c r="J7" s="87"/>
      <c r="K7" s="87"/>
      <c r="M7" s="84" t="s">
        <v>94</v>
      </c>
      <c r="N7" s="84"/>
      <c r="O7" s="84"/>
      <c r="Q7" s="84" t="s">
        <v>95</v>
      </c>
      <c r="R7" s="84"/>
      <c r="S7" s="84"/>
      <c r="U7" s="87" t="s">
        <v>96</v>
      </c>
      <c r="V7" s="87"/>
      <c r="W7" s="87"/>
      <c r="Y7" s="84" t="s">
        <v>97</v>
      </c>
      <c r="Z7" s="84"/>
      <c r="AA7" s="84"/>
    </row>
    <row r="8" spans="1:31" x14ac:dyDescent="0.3">
      <c r="A8" s="87"/>
      <c r="B8" s="87"/>
      <c r="C8" s="87"/>
      <c r="E8" s="87"/>
      <c r="F8" s="87"/>
      <c r="G8" s="87"/>
      <c r="I8" s="87"/>
      <c r="J8" s="87"/>
      <c r="K8" s="87"/>
      <c r="M8" s="84"/>
      <c r="N8" s="84"/>
      <c r="O8" s="84"/>
      <c r="Q8" s="84"/>
      <c r="R8" s="84"/>
      <c r="S8" s="84"/>
      <c r="U8" s="87"/>
      <c r="V8" s="87"/>
      <c r="W8" s="87"/>
      <c r="Y8" s="84"/>
      <c r="Z8" s="84"/>
      <c r="AA8" s="84"/>
    </row>
    <row r="9" spans="1:31" x14ac:dyDescent="0.3">
      <c r="B9" s="42"/>
      <c r="F9" s="42"/>
      <c r="Y9" s="47"/>
      <c r="Z9" s="47"/>
      <c r="AA9" s="47"/>
    </row>
    <row r="10" spans="1:31" x14ac:dyDescent="0.3">
      <c r="Y10" s="47"/>
      <c r="Z10" s="47"/>
      <c r="AA10" s="47"/>
    </row>
    <row r="11" spans="1:31" ht="15" customHeight="1" x14ac:dyDescent="0.3">
      <c r="N11" s="85" t="s">
        <v>3</v>
      </c>
      <c r="O11" s="86"/>
      <c r="R11" s="84" t="s">
        <v>1</v>
      </c>
      <c r="S11" s="84"/>
      <c r="Y11" s="47"/>
      <c r="Z11" s="85" t="s">
        <v>74</v>
      </c>
      <c r="AA11" s="86"/>
    </row>
    <row r="12" spans="1:31" x14ac:dyDescent="0.3">
      <c r="N12" s="14" t="s">
        <v>5</v>
      </c>
      <c r="O12" s="14" t="s">
        <v>6</v>
      </c>
      <c r="R12" s="14" t="s">
        <v>5</v>
      </c>
      <c r="S12" s="14" t="s">
        <v>6</v>
      </c>
      <c r="Y12" s="47"/>
      <c r="Z12" s="52" t="s">
        <v>5</v>
      </c>
      <c r="AA12" s="52" t="s">
        <v>6</v>
      </c>
      <c r="AE12" s="42"/>
    </row>
    <row r="13" spans="1:31" x14ac:dyDescent="0.3">
      <c r="N13" s="43">
        <v>0.1</v>
      </c>
      <c r="O13" s="43">
        <v>0.2</v>
      </c>
      <c r="P13" s="17" t="str">
        <f>IF(ER_P2_Max&lt;ER_P2_Min,"Error","")</f>
        <v/>
      </c>
      <c r="R13" s="43">
        <v>0.06</v>
      </c>
      <c r="S13" s="43">
        <v>0.2</v>
      </c>
      <c r="T13" s="17" t="str">
        <f>IF(sigma_P3_Max&lt;sigma_P3_Min,"Error","")</f>
        <v/>
      </c>
      <c r="Y13" s="47"/>
      <c r="Z13" s="58">
        <v>0.8</v>
      </c>
      <c r="AA13" s="58">
        <v>1.2</v>
      </c>
    </row>
    <row r="14" spans="1:31" x14ac:dyDescent="0.3">
      <c r="Y14" s="47"/>
      <c r="Z14" s="47"/>
      <c r="AA14" s="47"/>
      <c r="AC14" s="2">
        <f>ROW(StockTitle)</f>
        <v>15</v>
      </c>
      <c r="AD14" s="2" t="str">
        <f ca="1">MID(CELL("address",AD15),2,FIND("$",CELL("address",AD15),2)-2)</f>
        <v>AD</v>
      </c>
      <c r="AE14" s="2" t="str">
        <f ca="1">MID(CELL("address",AE15),2,FIND("$",CELL("address",AE15),2)-2)</f>
        <v>AE</v>
      </c>
    </row>
    <row r="15" spans="1:31" x14ac:dyDescent="0.3">
      <c r="A15" s="39" t="s">
        <v>7</v>
      </c>
      <c r="B15" s="39" t="s">
        <v>83</v>
      </c>
      <c r="C15" s="5" t="s">
        <v>4</v>
      </c>
      <c r="E15" s="39" t="s">
        <v>7</v>
      </c>
      <c r="F15" s="39" t="s">
        <v>83</v>
      </c>
      <c r="G15" s="5" t="s">
        <v>4</v>
      </c>
      <c r="I15" s="39" t="s">
        <v>7</v>
      </c>
      <c r="J15" s="39" t="s">
        <v>83</v>
      </c>
      <c r="K15" s="5" t="s">
        <v>4</v>
      </c>
      <c r="M15" s="39" t="s">
        <v>7</v>
      </c>
      <c r="N15" s="39" t="s">
        <v>83</v>
      </c>
      <c r="O15" s="5" t="s">
        <v>4</v>
      </c>
      <c r="Q15" s="39" t="s">
        <v>7</v>
      </c>
      <c r="R15" s="39" t="s">
        <v>83</v>
      </c>
      <c r="S15" s="5" t="s">
        <v>4</v>
      </c>
      <c r="U15" s="39" t="s">
        <v>7</v>
      </c>
      <c r="V15" s="39" t="s">
        <v>83</v>
      </c>
      <c r="W15" s="5" t="s">
        <v>4</v>
      </c>
      <c r="Y15" s="39" t="s">
        <v>7</v>
      </c>
      <c r="Z15" s="39" t="s">
        <v>83</v>
      </c>
      <c r="AA15" s="5" t="s">
        <v>4</v>
      </c>
      <c r="AC15" s="39" t="s">
        <v>7</v>
      </c>
      <c r="AD15" s="5" t="s">
        <v>37</v>
      </c>
      <c r="AE15" s="5" t="s">
        <v>38</v>
      </c>
    </row>
    <row r="16" spans="1:31" x14ac:dyDescent="0.3">
      <c r="A16" s="6">
        <v>1</v>
      </c>
      <c r="B16" s="6" t="str">
        <f>Data!$B9</f>
        <v>MPW</v>
      </c>
      <c r="C16" s="3">
        <v>0.150961930355133</v>
      </c>
      <c r="E16" s="6">
        <v>1</v>
      </c>
      <c r="F16" s="6" t="str">
        <f>Data!$B9</f>
        <v>MPW</v>
      </c>
      <c r="G16" s="3">
        <v>0.13313308052746226</v>
      </c>
      <c r="I16" s="6">
        <v>1</v>
      </c>
      <c r="J16" s="6" t="str">
        <f>Data!$B9</f>
        <v>MPW</v>
      </c>
      <c r="K16" s="3">
        <v>0.13358019815817135</v>
      </c>
      <c r="M16" s="6">
        <v>1</v>
      </c>
      <c r="N16" s="6" t="str">
        <f>Data!$B9</f>
        <v>MPW</v>
      </c>
      <c r="O16" s="3">
        <v>0</v>
      </c>
      <c r="Q16" s="6">
        <v>1</v>
      </c>
      <c r="R16" s="6" t="str">
        <f>Data!$B9</f>
        <v>MPW</v>
      </c>
      <c r="S16" s="3">
        <v>0.13312835726530403</v>
      </c>
      <c r="U16" s="6">
        <v>1</v>
      </c>
      <c r="V16" s="6" t="str">
        <f>Data!$B9</f>
        <v>MPW</v>
      </c>
      <c r="W16" s="3">
        <v>0.10026959999881817</v>
      </c>
      <c r="Y16" s="53">
        <v>1</v>
      </c>
      <c r="Z16" s="6" t="str">
        <f>Data!$B9</f>
        <v>MPW</v>
      </c>
      <c r="AA16" s="3">
        <v>0.1331312417890832</v>
      </c>
      <c r="AC16" s="6">
        <v>1</v>
      </c>
      <c r="AD16" s="8">
        <f>Data!G9</f>
        <v>0</v>
      </c>
      <c r="AE16" s="8">
        <f>Data!H9</f>
        <v>1</v>
      </c>
    </row>
    <row r="17" spans="1:31" x14ac:dyDescent="0.3">
      <c r="A17" s="6">
        <v>2</v>
      </c>
      <c r="B17" s="6" t="str">
        <f>Data!$B10</f>
        <v>CLF</v>
      </c>
      <c r="C17" s="3">
        <v>-2.6079938635362163E-2</v>
      </c>
      <c r="E17" s="6">
        <v>2</v>
      </c>
      <c r="F17" s="6" t="str">
        <f>Data!$B10</f>
        <v>CLF</v>
      </c>
      <c r="G17" s="3">
        <v>0</v>
      </c>
      <c r="I17" s="6">
        <v>2</v>
      </c>
      <c r="J17" s="6" t="str">
        <f>Data!$B10</f>
        <v>CLF</v>
      </c>
      <c r="K17" s="3">
        <v>0</v>
      </c>
      <c r="M17" s="6">
        <v>2</v>
      </c>
      <c r="N17" s="6" t="str">
        <f>Data!$B10</f>
        <v>CLF</v>
      </c>
      <c r="O17" s="3">
        <v>0.18117356991233441</v>
      </c>
      <c r="Q17" s="6">
        <v>2</v>
      </c>
      <c r="R17" s="6" t="str">
        <f>Data!$B10</f>
        <v>CLF</v>
      </c>
      <c r="S17" s="3">
        <v>0</v>
      </c>
      <c r="U17" s="6">
        <v>2</v>
      </c>
      <c r="V17" s="6" t="str">
        <f>Data!$B10</f>
        <v>CLF</v>
      </c>
      <c r="W17" s="3">
        <v>4.6184893670985105E-2</v>
      </c>
      <c r="Y17" s="53">
        <v>2</v>
      </c>
      <c r="Z17" s="6" t="str">
        <f>Data!$B10</f>
        <v>CLF</v>
      </c>
      <c r="AA17" s="3">
        <v>0</v>
      </c>
      <c r="AC17" s="6">
        <v>2</v>
      </c>
      <c r="AD17" s="8">
        <f>Data!G10</f>
        <v>0</v>
      </c>
      <c r="AE17" s="8">
        <f>Data!H10</f>
        <v>1</v>
      </c>
    </row>
    <row r="18" spans="1:31" x14ac:dyDescent="0.3">
      <c r="A18" s="6">
        <v>3</v>
      </c>
      <c r="B18" s="6" t="str">
        <f>Data!$B11</f>
        <v>RUN</v>
      </c>
      <c r="C18" s="3">
        <v>-3.2927043607123785E-2</v>
      </c>
      <c r="E18" s="6">
        <v>3</v>
      </c>
      <c r="F18" s="6" t="str">
        <f>Data!$B11</f>
        <v>RUN</v>
      </c>
      <c r="G18" s="3">
        <v>0</v>
      </c>
      <c r="I18" s="6">
        <v>3</v>
      </c>
      <c r="J18" s="6" t="str">
        <f>Data!$B11</f>
        <v>RUN</v>
      </c>
      <c r="K18" s="3">
        <v>0</v>
      </c>
      <c r="M18" s="6">
        <v>3</v>
      </c>
      <c r="N18" s="6" t="str">
        <f>Data!$B11</f>
        <v>RUN</v>
      </c>
      <c r="O18" s="3">
        <v>0.17670777349030795</v>
      </c>
      <c r="Q18" s="6">
        <v>3</v>
      </c>
      <c r="R18" s="6" t="str">
        <f>Data!$B11</f>
        <v>RUN</v>
      </c>
      <c r="S18" s="3">
        <v>0</v>
      </c>
      <c r="U18" s="6">
        <v>3</v>
      </c>
      <c r="V18" s="6" t="str">
        <f>Data!$B11</f>
        <v>RUN</v>
      </c>
      <c r="W18" s="3">
        <v>3.0956310005996104E-2</v>
      </c>
      <c r="Y18" s="53">
        <v>3</v>
      </c>
      <c r="Z18" s="6" t="str">
        <f>Data!$B11</f>
        <v>RUN</v>
      </c>
      <c r="AA18" s="3">
        <v>0</v>
      </c>
      <c r="AC18" s="6">
        <v>3</v>
      </c>
      <c r="AD18" s="8">
        <f>Data!G11</f>
        <v>0</v>
      </c>
      <c r="AE18" s="8">
        <f>Data!H11</f>
        <v>1</v>
      </c>
    </row>
    <row r="19" spans="1:31" x14ac:dyDescent="0.3">
      <c r="A19" s="6">
        <v>4</v>
      </c>
      <c r="B19" s="6" t="str">
        <f>Data!$B12</f>
        <v>KGC</v>
      </c>
      <c r="C19" s="3">
        <v>7.9249979873931994E-2</v>
      </c>
      <c r="E19" s="6">
        <v>4</v>
      </c>
      <c r="F19" s="6" t="str">
        <f>Data!$B12</f>
        <v>KGC</v>
      </c>
      <c r="G19" s="3">
        <v>7.4572088472174475E-2</v>
      </c>
      <c r="I19" s="6">
        <v>4</v>
      </c>
      <c r="J19" s="6" t="str">
        <f>Data!$B12</f>
        <v>KGC</v>
      </c>
      <c r="K19" s="3">
        <v>7.1647218014627437E-2</v>
      </c>
      <c r="M19" s="6">
        <v>4</v>
      </c>
      <c r="N19" s="6" t="str">
        <f>Data!$B12</f>
        <v>KGC</v>
      </c>
      <c r="O19" s="3">
        <v>0</v>
      </c>
      <c r="Q19" s="6">
        <v>4</v>
      </c>
      <c r="R19" s="6" t="str">
        <f>Data!$B12</f>
        <v>KGC</v>
      </c>
      <c r="S19" s="3">
        <v>7.4573867757937409E-2</v>
      </c>
      <c r="U19" s="6">
        <v>4</v>
      </c>
      <c r="V19" s="6" t="str">
        <f>Data!$B12</f>
        <v>KGC</v>
      </c>
      <c r="W19" s="3">
        <v>3.3100931944585681E-2</v>
      </c>
      <c r="Y19" s="53">
        <v>4</v>
      </c>
      <c r="Z19" s="6" t="str">
        <f>Data!$B12</f>
        <v>KGC</v>
      </c>
      <c r="AA19" s="3">
        <v>7.4574244443642537E-2</v>
      </c>
      <c r="AC19" s="6">
        <v>4</v>
      </c>
      <c r="AD19" s="8">
        <f>Data!G12</f>
        <v>0</v>
      </c>
      <c r="AE19" s="8">
        <f>Data!H12</f>
        <v>1</v>
      </c>
    </row>
    <row r="20" spans="1:31" x14ac:dyDescent="0.3">
      <c r="A20" s="6">
        <v>5</v>
      </c>
      <c r="B20" s="6" t="str">
        <f>Data!$B13</f>
        <v>VFC</v>
      </c>
      <c r="C20" s="3">
        <v>7.5830759426844516E-2</v>
      </c>
      <c r="E20" s="6">
        <v>5</v>
      </c>
      <c r="F20" s="6" t="str">
        <f>Data!$B13</f>
        <v>VFC</v>
      </c>
      <c r="G20" s="3">
        <v>4.0829996894749476E-2</v>
      </c>
      <c r="I20" s="6">
        <v>5</v>
      </c>
      <c r="J20" s="6" t="str">
        <f>Data!$B13</f>
        <v>VFC</v>
      </c>
      <c r="K20" s="3">
        <v>5.9132676110573767E-2</v>
      </c>
      <c r="M20" s="6">
        <v>5</v>
      </c>
      <c r="N20" s="6" t="str">
        <f>Data!$B13</f>
        <v>VFC</v>
      </c>
      <c r="O20" s="3">
        <v>2.9190357185594679E-2</v>
      </c>
      <c r="Q20" s="6">
        <v>5</v>
      </c>
      <c r="R20" s="6" t="str">
        <f>Data!$B13</f>
        <v>VFC</v>
      </c>
      <c r="S20" s="3">
        <v>4.0940641126760519E-2</v>
      </c>
      <c r="U20" s="6">
        <v>5</v>
      </c>
      <c r="V20" s="6" t="str">
        <f>Data!$B13</f>
        <v>VFC</v>
      </c>
      <c r="W20" s="3">
        <v>0.15813970008272246</v>
      </c>
      <c r="Y20" s="53">
        <v>5</v>
      </c>
      <c r="Z20" s="6" t="str">
        <f>Data!$B13</f>
        <v>VFC</v>
      </c>
      <c r="AA20" s="3">
        <v>4.082184082171237E-2</v>
      </c>
      <c r="AC20" s="6">
        <v>5</v>
      </c>
      <c r="AD20" s="8">
        <f>Data!G13</f>
        <v>0</v>
      </c>
      <c r="AE20" s="8">
        <f>Data!H13</f>
        <v>1</v>
      </c>
    </row>
    <row r="21" spans="1:31" x14ac:dyDescent="0.3">
      <c r="A21" s="6">
        <v>6</v>
      </c>
      <c r="B21" s="6" t="str">
        <f>Data!$B14</f>
        <v>GPS</v>
      </c>
      <c r="C21" s="3">
        <v>-2.6578602294704195E-2</v>
      </c>
      <c r="E21" s="6">
        <v>6</v>
      </c>
      <c r="F21" s="6" t="str">
        <f>Data!$B14</f>
        <v>GPS</v>
      </c>
      <c r="G21" s="3">
        <v>0</v>
      </c>
      <c r="I21" s="6">
        <v>6</v>
      </c>
      <c r="J21" s="6" t="str">
        <f>Data!$B14</f>
        <v>GPS</v>
      </c>
      <c r="K21" s="3">
        <v>0</v>
      </c>
      <c r="M21" s="6">
        <v>6</v>
      </c>
      <c r="N21" s="6" t="str">
        <f>Data!$B14</f>
        <v>GPS</v>
      </c>
      <c r="O21" s="3">
        <v>0.1932148950740265</v>
      </c>
      <c r="Q21" s="6">
        <v>6</v>
      </c>
      <c r="R21" s="6" t="str">
        <f>Data!$B14</f>
        <v>GPS</v>
      </c>
      <c r="S21" s="3">
        <v>0</v>
      </c>
      <c r="U21" s="6">
        <v>6</v>
      </c>
      <c r="V21" s="6" t="str">
        <f>Data!$B14</f>
        <v>GPS</v>
      </c>
      <c r="W21" s="3">
        <v>5.1529059412473904E-2</v>
      </c>
      <c r="Y21" s="53">
        <v>6</v>
      </c>
      <c r="Z21" s="6" t="str">
        <f>Data!$B14</f>
        <v>GPS</v>
      </c>
      <c r="AA21" s="3">
        <v>0</v>
      </c>
      <c r="AC21" s="6">
        <v>6</v>
      </c>
      <c r="AD21" s="8">
        <f>Data!G14</f>
        <v>0</v>
      </c>
      <c r="AE21" s="8">
        <f>Data!H14</f>
        <v>1</v>
      </c>
    </row>
    <row r="22" spans="1:31" x14ac:dyDescent="0.3">
      <c r="A22" s="6">
        <v>7</v>
      </c>
      <c r="B22" s="6" t="str">
        <f>Data!$B15</f>
        <v>VIAV</v>
      </c>
      <c r="C22" s="3">
        <v>0.24805522128913093</v>
      </c>
      <c r="E22" s="6">
        <v>7</v>
      </c>
      <c r="F22" s="6" t="str">
        <f>Data!$B15</f>
        <v>VIAV</v>
      </c>
      <c r="G22" s="3">
        <v>0.23526902865636923</v>
      </c>
      <c r="I22" s="6">
        <v>7</v>
      </c>
      <c r="J22" s="6" t="str">
        <f>Data!$B15</f>
        <v>VIAV</v>
      </c>
      <c r="K22" s="3">
        <v>0.22447032863602792</v>
      </c>
      <c r="M22" s="6">
        <v>7</v>
      </c>
      <c r="N22" s="6" t="str">
        <f>Data!$B15</f>
        <v>VIAV</v>
      </c>
      <c r="O22" s="3">
        <v>0</v>
      </c>
      <c r="Q22" s="6">
        <v>7</v>
      </c>
      <c r="R22" s="6" t="str">
        <f>Data!$B15</f>
        <v>VIAV</v>
      </c>
      <c r="S22" s="3">
        <v>0.2351638366724641</v>
      </c>
      <c r="U22" s="6">
        <v>7</v>
      </c>
      <c r="V22" s="6" t="str">
        <f>Data!$B15</f>
        <v>VIAV</v>
      </c>
      <c r="W22" s="3">
        <v>9.6203446499362424E-2</v>
      </c>
      <c r="Y22" s="53">
        <v>7</v>
      </c>
      <c r="Z22" s="6" t="str">
        <f>Data!$B15</f>
        <v>VIAV</v>
      </c>
      <c r="AA22" s="3">
        <v>0.23527829993999932</v>
      </c>
      <c r="AC22" s="6">
        <v>7</v>
      </c>
      <c r="AD22" s="8">
        <f>Data!G15</f>
        <v>0</v>
      </c>
      <c r="AE22" s="8">
        <f>Data!H15</f>
        <v>1</v>
      </c>
    </row>
    <row r="23" spans="1:31" x14ac:dyDescent="0.3">
      <c r="A23" s="6">
        <v>8</v>
      </c>
      <c r="B23" s="6" t="str">
        <f>Data!$B16</f>
        <v>IQ</v>
      </c>
      <c r="C23" s="3">
        <v>5.0213651481799966E-2</v>
      </c>
      <c r="E23" s="6">
        <v>8</v>
      </c>
      <c r="F23" s="6" t="str">
        <f>Data!$B16</f>
        <v>IQ</v>
      </c>
      <c r="G23" s="3">
        <v>5.0137843643103253E-2</v>
      </c>
      <c r="I23" s="6">
        <v>8</v>
      </c>
      <c r="J23" s="6" t="str">
        <f>Data!$B16</f>
        <v>IQ</v>
      </c>
      <c r="K23" s="3">
        <v>4.6165426321822023E-2</v>
      </c>
      <c r="M23" s="6">
        <v>8</v>
      </c>
      <c r="N23" s="6" t="str">
        <f>Data!$B16</f>
        <v>IQ</v>
      </c>
      <c r="O23" s="3">
        <v>0</v>
      </c>
      <c r="Q23" s="6">
        <v>8</v>
      </c>
      <c r="R23" s="6" t="str">
        <f>Data!$B16</f>
        <v>IQ</v>
      </c>
      <c r="S23" s="3">
        <v>5.014183241915629E-2</v>
      </c>
      <c r="U23" s="6">
        <v>8</v>
      </c>
      <c r="V23" s="6" t="str">
        <f>Data!$B16</f>
        <v>IQ</v>
      </c>
      <c r="W23" s="3">
        <v>8.963969006798831E-3</v>
      </c>
      <c r="Y23" s="53">
        <v>8</v>
      </c>
      <c r="Z23" s="6" t="str">
        <f>Data!$B16</f>
        <v>IQ</v>
      </c>
      <c r="AA23" s="3">
        <v>5.0136617892416462E-2</v>
      </c>
      <c r="AC23" s="6">
        <v>8</v>
      </c>
      <c r="AD23" s="8">
        <f>Data!G16</f>
        <v>0</v>
      </c>
      <c r="AE23" s="8">
        <f>Data!H16</f>
        <v>1</v>
      </c>
    </row>
    <row r="24" spans="1:31" x14ac:dyDescent="0.3">
      <c r="A24" s="6">
        <v>9</v>
      </c>
      <c r="B24" s="6" t="str">
        <f>Data!$B17</f>
        <v>AGI</v>
      </c>
      <c r="C24" s="3">
        <v>8.9419761596352967E-2</v>
      </c>
      <c r="E24" s="6">
        <v>9</v>
      </c>
      <c r="F24" s="6" t="str">
        <f>Data!$B17</f>
        <v>AGI</v>
      </c>
      <c r="G24" s="3">
        <v>8.0598283863251144E-2</v>
      </c>
      <c r="I24" s="6">
        <v>9</v>
      </c>
      <c r="J24" s="6" t="str">
        <f>Data!$B17</f>
        <v>AGI</v>
      </c>
      <c r="K24" s="3">
        <v>7.9726336821235685E-2</v>
      </c>
      <c r="M24" s="6">
        <v>9</v>
      </c>
      <c r="N24" s="6" t="str">
        <f>Data!$B17</f>
        <v>AGI</v>
      </c>
      <c r="O24" s="3">
        <v>0</v>
      </c>
      <c r="Q24" s="6">
        <v>9</v>
      </c>
      <c r="R24" s="6" t="str">
        <f>Data!$B17</f>
        <v>AGI</v>
      </c>
      <c r="S24" s="3">
        <v>8.0613641070713352E-2</v>
      </c>
      <c r="U24" s="6">
        <v>9</v>
      </c>
      <c r="V24" s="6" t="str">
        <f>Data!$B17</f>
        <v>AGI</v>
      </c>
      <c r="W24" s="3">
        <v>5.2135481759302209E-2</v>
      </c>
      <c r="Y24" s="53">
        <v>9</v>
      </c>
      <c r="Z24" s="6" t="str">
        <f>Data!$B17</f>
        <v>AGI</v>
      </c>
      <c r="AA24" s="3">
        <v>8.0596522012517283E-2</v>
      </c>
      <c r="AC24" s="6">
        <v>9</v>
      </c>
      <c r="AD24" s="8">
        <f>Data!G17</f>
        <v>0</v>
      </c>
      <c r="AE24" s="8">
        <f>Data!H17</f>
        <v>1</v>
      </c>
    </row>
    <row r="25" spans="1:31" x14ac:dyDescent="0.3">
      <c r="A25" s="6">
        <v>10</v>
      </c>
      <c r="B25" s="6" t="str">
        <f>Data!$B18</f>
        <v>PLNT</v>
      </c>
      <c r="C25" s="3">
        <v>8.4244333770754368E-2</v>
      </c>
      <c r="E25" s="6">
        <v>10</v>
      </c>
      <c r="F25" s="6" t="str">
        <f>Data!$B18</f>
        <v>PLNT</v>
      </c>
      <c r="G25" s="3">
        <v>6.5871922336354069E-2</v>
      </c>
      <c r="I25" s="6">
        <v>10</v>
      </c>
      <c r="J25" s="6" t="str">
        <f>Data!$B18</f>
        <v>PLNT</v>
      </c>
      <c r="K25" s="3">
        <v>7.1623815654784206E-2</v>
      </c>
      <c r="M25" s="6">
        <v>10</v>
      </c>
      <c r="N25" s="6" t="str">
        <f>Data!$B18</f>
        <v>PLNT</v>
      </c>
      <c r="O25" s="3">
        <v>0</v>
      </c>
      <c r="Q25" s="6">
        <v>10</v>
      </c>
      <c r="R25" s="6" t="str">
        <f>Data!$B18</f>
        <v>PLNT</v>
      </c>
      <c r="S25" s="3">
        <v>6.5765582766295988E-2</v>
      </c>
      <c r="U25" s="6">
        <v>10</v>
      </c>
      <c r="V25" s="6" t="str">
        <f>Data!$B18</f>
        <v>PLNT</v>
      </c>
      <c r="W25" s="3">
        <v>9.1177144808361296E-2</v>
      </c>
      <c r="Y25" s="53">
        <v>10</v>
      </c>
      <c r="Z25" s="6" t="str">
        <f>Data!$B18</f>
        <v>PLNT</v>
      </c>
      <c r="AA25" s="3">
        <v>6.5868423438329618E-2</v>
      </c>
      <c r="AC25" s="6">
        <v>10</v>
      </c>
      <c r="AD25" s="8">
        <f>Data!G18</f>
        <v>0</v>
      </c>
      <c r="AE25" s="8">
        <f>Data!H18</f>
        <v>1</v>
      </c>
    </row>
    <row r="26" spans="1:31" x14ac:dyDescent="0.3">
      <c r="A26" s="6">
        <v>11</v>
      </c>
      <c r="B26" s="6" t="str">
        <f>Data!$B19</f>
        <v>JWN</v>
      </c>
      <c r="C26" s="3">
        <v>-3.9853671358168266E-2</v>
      </c>
      <c r="E26" s="6">
        <v>11</v>
      </c>
      <c r="F26" s="6" t="str">
        <f>Data!$B19</f>
        <v>JWN</v>
      </c>
      <c r="G26" s="3">
        <v>0</v>
      </c>
      <c r="I26" s="6">
        <v>11</v>
      </c>
      <c r="J26" s="6" t="str">
        <f>Data!$B19</f>
        <v>JWN</v>
      </c>
      <c r="K26" s="3">
        <v>0</v>
      </c>
      <c r="M26" s="6">
        <v>11</v>
      </c>
      <c r="N26" s="6" t="str">
        <f>Data!$B19</f>
        <v>JWN</v>
      </c>
      <c r="O26" s="3">
        <v>0.22079130467346264</v>
      </c>
      <c r="Q26" s="6">
        <v>11</v>
      </c>
      <c r="R26" s="6" t="str">
        <f>Data!$B19</f>
        <v>JWN</v>
      </c>
      <c r="S26" s="3">
        <v>0</v>
      </c>
      <c r="U26" s="6">
        <v>11</v>
      </c>
      <c r="V26" s="6" t="str">
        <f>Data!$B19</f>
        <v>JWN</v>
      </c>
      <c r="W26" s="3">
        <v>4.1098134042841634E-2</v>
      </c>
      <c r="Y26" s="53">
        <v>11</v>
      </c>
      <c r="Z26" s="6" t="str">
        <f>Data!$B19</f>
        <v>JWN</v>
      </c>
      <c r="AA26" s="3">
        <v>0</v>
      </c>
      <c r="AC26" s="6">
        <v>11</v>
      </c>
      <c r="AD26" s="8">
        <f>Data!G19</f>
        <v>0</v>
      </c>
      <c r="AE26" s="8">
        <f>Data!H19</f>
        <v>1</v>
      </c>
    </row>
    <row r="27" spans="1:31" x14ac:dyDescent="0.3">
      <c r="A27" s="6">
        <v>12</v>
      </c>
      <c r="B27" s="6" t="str">
        <f>Data!$B20</f>
        <v>DEI</v>
      </c>
      <c r="C27" s="3">
        <v>0.25899148569439256</v>
      </c>
      <c r="E27" s="6">
        <v>12</v>
      </c>
      <c r="F27" s="6" t="str">
        <f>Data!$B20</f>
        <v>DEI</v>
      </c>
      <c r="G27" s="3">
        <v>0.23647878187904231</v>
      </c>
      <c r="I27" s="6">
        <v>12</v>
      </c>
      <c r="J27" s="6" t="str">
        <f>Data!$B20</f>
        <v>DEI</v>
      </c>
      <c r="K27" s="3">
        <v>0.23120535707360132</v>
      </c>
      <c r="M27" s="6">
        <v>12</v>
      </c>
      <c r="N27" s="6" t="str">
        <f>Data!$B20</f>
        <v>DEI</v>
      </c>
      <c r="O27" s="3">
        <v>0</v>
      </c>
      <c r="Q27" s="6">
        <v>12</v>
      </c>
      <c r="R27" s="6" t="str">
        <f>Data!$B20</f>
        <v>DEI</v>
      </c>
      <c r="S27" s="3">
        <v>0.23659379278432188</v>
      </c>
      <c r="U27" s="6">
        <v>12</v>
      </c>
      <c r="V27" s="6" t="str">
        <f>Data!$B20</f>
        <v>DEI</v>
      </c>
      <c r="W27" s="3">
        <v>0.13795384601630925</v>
      </c>
      <c r="Y27" s="53">
        <v>12</v>
      </c>
      <c r="Z27" s="6" t="str">
        <f>Data!$B20</f>
        <v>DEI</v>
      </c>
      <c r="AA27" s="3">
        <v>0.23647335501155012</v>
      </c>
      <c r="AC27" s="6">
        <v>12</v>
      </c>
      <c r="AD27" s="8">
        <f>Data!G20</f>
        <v>0</v>
      </c>
      <c r="AE27" s="8">
        <f>Data!H20</f>
        <v>1</v>
      </c>
    </row>
    <row r="28" spans="1:31" x14ac:dyDescent="0.3">
      <c r="A28" s="6">
        <v>13</v>
      </c>
      <c r="B28" s="6" t="str">
        <f>Data!$B21</f>
        <v>MODG</v>
      </c>
      <c r="C28" s="3">
        <v>-4.2057572107965209E-3</v>
      </c>
      <c r="E28" s="6">
        <v>13</v>
      </c>
      <c r="F28" s="6" t="str">
        <f>Data!$B21</f>
        <v>MODG</v>
      </c>
      <c r="G28" s="3">
        <v>0</v>
      </c>
      <c r="I28" s="6">
        <v>13</v>
      </c>
      <c r="J28" s="6" t="str">
        <f>Data!$B21</f>
        <v>MODG</v>
      </c>
      <c r="K28" s="3">
        <v>0</v>
      </c>
      <c r="M28" s="6">
        <v>13</v>
      </c>
      <c r="N28" s="6" t="str">
        <f>Data!$B21</f>
        <v>MODG</v>
      </c>
      <c r="O28" s="3">
        <v>0.19892209966427388</v>
      </c>
      <c r="Q28" s="6">
        <v>13</v>
      </c>
      <c r="R28" s="6" t="str">
        <f>Data!$B21</f>
        <v>MODG</v>
      </c>
      <c r="S28" s="3">
        <v>0</v>
      </c>
      <c r="U28" s="6">
        <v>13</v>
      </c>
      <c r="V28" s="6" t="str">
        <f>Data!$B21</f>
        <v>MODG</v>
      </c>
      <c r="W28" s="3">
        <v>9.6647756856686751E-2</v>
      </c>
      <c r="Y28" s="53">
        <v>13</v>
      </c>
      <c r="Z28" s="6" t="str">
        <f>Data!$B21</f>
        <v>MODG</v>
      </c>
      <c r="AA28" s="3">
        <v>0</v>
      </c>
      <c r="AC28" s="6">
        <v>13</v>
      </c>
      <c r="AD28" s="8">
        <f>Data!G21</f>
        <v>0</v>
      </c>
      <c r="AE28" s="8">
        <f>Data!H21</f>
        <v>1</v>
      </c>
    </row>
    <row r="29" spans="1:31" x14ac:dyDescent="0.3">
      <c r="A29" s="6">
        <v>14</v>
      </c>
      <c r="B29" s="6" t="str">
        <f>Data!$B22</f>
        <v>MAT</v>
      </c>
      <c r="C29" s="3">
        <v>9.2677889617814618E-2</v>
      </c>
      <c r="E29" s="6">
        <v>14</v>
      </c>
      <c r="F29" s="6" t="str">
        <f>Data!$B22</f>
        <v>MAT</v>
      </c>
      <c r="G29" s="3">
        <v>8.310897372749354E-2</v>
      </c>
      <c r="I29" s="6">
        <v>14</v>
      </c>
      <c r="J29" s="6" t="str">
        <f>Data!$B22</f>
        <v>MAT</v>
      </c>
      <c r="K29" s="3">
        <v>8.2448643209156125E-2</v>
      </c>
      <c r="M29" s="6">
        <v>14</v>
      </c>
      <c r="N29" s="6" t="str">
        <f>Data!$B22</f>
        <v>MAT</v>
      </c>
      <c r="O29" s="3">
        <v>0</v>
      </c>
      <c r="Q29" s="6">
        <v>14</v>
      </c>
      <c r="R29" s="6" t="str">
        <f>Data!$B22</f>
        <v>MAT</v>
      </c>
      <c r="S29" s="3">
        <v>8.3078448137046151E-2</v>
      </c>
      <c r="U29" s="6">
        <v>14</v>
      </c>
      <c r="V29" s="6" t="str">
        <f>Data!$B22</f>
        <v>MAT</v>
      </c>
      <c r="W29" s="3">
        <v>5.5639725894756131E-2</v>
      </c>
      <c r="Y29" s="53">
        <v>14</v>
      </c>
      <c r="Z29" s="6" t="str">
        <f>Data!$B22</f>
        <v>MAT</v>
      </c>
      <c r="AA29" s="3">
        <v>8.3119454650748978E-2</v>
      </c>
      <c r="AC29" s="6">
        <v>14</v>
      </c>
      <c r="AD29" s="8">
        <f>Data!G22</f>
        <v>0</v>
      </c>
      <c r="AE29" s="8">
        <f>Data!H22</f>
        <v>1</v>
      </c>
    </row>
    <row r="30" spans="1:31" x14ac:dyDescent="0.3">
      <c r="A30" s="6">
        <v>15</v>
      </c>
      <c r="B30" s="6" t="str">
        <f>Data!$B23</f>
        <v>TKR15</v>
      </c>
      <c r="C30" s="3">
        <v>0</v>
      </c>
      <c r="E30" s="6">
        <v>15</v>
      </c>
      <c r="F30" s="6" t="str">
        <f>Data!$B23</f>
        <v>TKR15</v>
      </c>
      <c r="G30" s="3">
        <v>0</v>
      </c>
      <c r="I30" s="6">
        <v>15</v>
      </c>
      <c r="J30" s="6" t="str">
        <f>Data!$B23</f>
        <v>TKR15</v>
      </c>
      <c r="K30" s="3">
        <v>0</v>
      </c>
      <c r="M30" s="6">
        <v>15</v>
      </c>
      <c r="N30" s="6" t="str">
        <f>Data!$B23</f>
        <v>TKR15</v>
      </c>
      <c r="O30" s="3">
        <v>0</v>
      </c>
      <c r="Q30" s="6">
        <v>15</v>
      </c>
      <c r="R30" s="6" t="str">
        <f>Data!$B23</f>
        <v>TKR15</v>
      </c>
      <c r="S30" s="3">
        <v>0</v>
      </c>
      <c r="U30" s="6">
        <v>15</v>
      </c>
      <c r="V30" s="6" t="str">
        <f>Data!$B23</f>
        <v>TKR15</v>
      </c>
      <c r="W30" s="3">
        <v>0</v>
      </c>
      <c r="Y30" s="53">
        <v>15</v>
      </c>
      <c r="Z30" s="6" t="str">
        <f>Data!$B23</f>
        <v>TKR15</v>
      </c>
      <c r="AA30" s="3">
        <v>0</v>
      </c>
      <c r="AC30" s="6">
        <v>15</v>
      </c>
      <c r="AD30" s="8">
        <f>Data!G23</f>
        <v>0</v>
      </c>
      <c r="AE30" s="8">
        <f>Data!H23</f>
        <v>1</v>
      </c>
    </row>
    <row r="31" spans="1:31" x14ac:dyDescent="0.3">
      <c r="A31" s="6">
        <v>16</v>
      </c>
      <c r="B31" s="6" t="str">
        <f>Data!$B24</f>
        <v>TKR16</v>
      </c>
      <c r="C31" s="3">
        <v>0</v>
      </c>
      <c r="E31" s="6">
        <v>16</v>
      </c>
      <c r="F31" s="6" t="str">
        <f>Data!$B24</f>
        <v>TKR16</v>
      </c>
      <c r="G31" s="3">
        <v>0</v>
      </c>
      <c r="I31" s="6">
        <v>16</v>
      </c>
      <c r="J31" s="6" t="str">
        <f>Data!$B24</f>
        <v>TKR16</v>
      </c>
      <c r="K31" s="3">
        <v>0</v>
      </c>
      <c r="M31" s="6">
        <v>16</v>
      </c>
      <c r="N31" s="6" t="str">
        <f>Data!$B24</f>
        <v>TKR16</v>
      </c>
      <c r="O31" s="3">
        <v>0</v>
      </c>
      <c r="Q31" s="6">
        <v>16</v>
      </c>
      <c r="R31" s="6" t="str">
        <f>Data!$B24</f>
        <v>TKR16</v>
      </c>
      <c r="S31" s="3">
        <v>0</v>
      </c>
      <c r="U31" s="6">
        <v>16</v>
      </c>
      <c r="V31" s="6" t="str">
        <f>Data!$B24</f>
        <v>TKR16</v>
      </c>
      <c r="W31" s="3">
        <v>0</v>
      </c>
      <c r="Y31" s="53">
        <v>16</v>
      </c>
      <c r="Z31" s="6" t="str">
        <f>Data!$B24</f>
        <v>TKR16</v>
      </c>
      <c r="AA31" s="3">
        <v>0</v>
      </c>
      <c r="AC31" s="6">
        <v>16</v>
      </c>
      <c r="AD31" s="8">
        <f>Data!G24</f>
        <v>0</v>
      </c>
      <c r="AE31" s="8">
        <f>Data!H24</f>
        <v>1</v>
      </c>
    </row>
    <row r="32" spans="1:31" x14ac:dyDescent="0.3">
      <c r="A32" s="6">
        <v>17</v>
      </c>
      <c r="B32" s="6" t="str">
        <f>Data!$B25</f>
        <v>TKR17</v>
      </c>
      <c r="C32" s="3">
        <v>0</v>
      </c>
      <c r="E32" s="6">
        <v>17</v>
      </c>
      <c r="F32" s="6" t="str">
        <f>Data!$B25</f>
        <v>TKR17</v>
      </c>
      <c r="G32" s="3">
        <v>0</v>
      </c>
      <c r="I32" s="6">
        <v>17</v>
      </c>
      <c r="J32" s="6" t="str">
        <f>Data!$B25</f>
        <v>TKR17</v>
      </c>
      <c r="K32" s="3">
        <v>0</v>
      </c>
      <c r="M32" s="6">
        <v>17</v>
      </c>
      <c r="N32" s="6" t="str">
        <f>Data!$B25</f>
        <v>TKR17</v>
      </c>
      <c r="O32" s="3">
        <v>0</v>
      </c>
      <c r="Q32" s="6">
        <v>17</v>
      </c>
      <c r="R32" s="6" t="str">
        <f>Data!$B25</f>
        <v>TKR17</v>
      </c>
      <c r="S32" s="3">
        <v>0</v>
      </c>
      <c r="U32" s="6">
        <v>17</v>
      </c>
      <c r="V32" s="6" t="str">
        <f>Data!$B25</f>
        <v>TKR17</v>
      </c>
      <c r="W32" s="3">
        <v>0</v>
      </c>
      <c r="Y32" s="53">
        <v>17</v>
      </c>
      <c r="Z32" s="6" t="str">
        <f>Data!$B25</f>
        <v>TKR17</v>
      </c>
      <c r="AA32" s="3">
        <v>0</v>
      </c>
      <c r="AC32" s="6">
        <v>17</v>
      </c>
      <c r="AD32" s="8">
        <f>Data!G25</f>
        <v>0</v>
      </c>
      <c r="AE32" s="8">
        <f>Data!H25</f>
        <v>1</v>
      </c>
    </row>
    <row r="33" spans="1:31" x14ac:dyDescent="0.3">
      <c r="A33" s="6">
        <v>18</v>
      </c>
      <c r="B33" s="6" t="str">
        <f>Data!$B26</f>
        <v>TKR18</v>
      </c>
      <c r="C33" s="3">
        <v>0</v>
      </c>
      <c r="E33" s="6">
        <v>18</v>
      </c>
      <c r="F33" s="6" t="str">
        <f>Data!$B26</f>
        <v>TKR18</v>
      </c>
      <c r="G33" s="3">
        <v>0</v>
      </c>
      <c r="I33" s="6">
        <v>18</v>
      </c>
      <c r="J33" s="6" t="str">
        <f>Data!$B26</f>
        <v>TKR18</v>
      </c>
      <c r="K33" s="3">
        <v>0</v>
      </c>
      <c r="M33" s="6">
        <v>18</v>
      </c>
      <c r="N33" s="6" t="str">
        <f>Data!$B26</f>
        <v>TKR18</v>
      </c>
      <c r="O33" s="3">
        <v>0</v>
      </c>
      <c r="Q33" s="6">
        <v>18</v>
      </c>
      <c r="R33" s="6" t="str">
        <f>Data!$B26</f>
        <v>TKR18</v>
      </c>
      <c r="S33" s="3">
        <v>0</v>
      </c>
      <c r="U33" s="6">
        <v>18</v>
      </c>
      <c r="V33" s="6" t="str">
        <f>Data!$B26</f>
        <v>TKR18</v>
      </c>
      <c r="W33" s="3">
        <v>0</v>
      </c>
      <c r="Y33" s="53">
        <v>18</v>
      </c>
      <c r="Z33" s="6" t="str">
        <f>Data!$B26</f>
        <v>TKR18</v>
      </c>
      <c r="AA33" s="3">
        <v>0</v>
      </c>
      <c r="AC33" s="6">
        <v>18</v>
      </c>
      <c r="AD33" s="8">
        <f>Data!G26</f>
        <v>0</v>
      </c>
      <c r="AE33" s="8">
        <f>Data!H26</f>
        <v>1</v>
      </c>
    </row>
    <row r="34" spans="1:31" x14ac:dyDescent="0.3">
      <c r="A34" s="6">
        <v>19</v>
      </c>
      <c r="B34" s="6" t="str">
        <f>Data!$B27</f>
        <v>TKR19</v>
      </c>
      <c r="C34" s="3">
        <v>0</v>
      </c>
      <c r="E34" s="6">
        <v>19</v>
      </c>
      <c r="F34" s="6" t="str">
        <f>Data!$B27</f>
        <v>TKR19</v>
      </c>
      <c r="G34" s="3">
        <v>0</v>
      </c>
      <c r="I34" s="6">
        <v>19</v>
      </c>
      <c r="J34" s="6" t="str">
        <f>Data!$B27</f>
        <v>TKR19</v>
      </c>
      <c r="K34" s="3">
        <v>0</v>
      </c>
      <c r="M34" s="6">
        <v>19</v>
      </c>
      <c r="N34" s="6" t="str">
        <f>Data!$B27</f>
        <v>TKR19</v>
      </c>
      <c r="O34" s="3">
        <v>0</v>
      </c>
      <c r="Q34" s="6">
        <v>19</v>
      </c>
      <c r="R34" s="6" t="str">
        <f>Data!$B27</f>
        <v>TKR19</v>
      </c>
      <c r="S34" s="3">
        <v>0</v>
      </c>
      <c r="U34" s="6">
        <v>19</v>
      </c>
      <c r="V34" s="6" t="str">
        <f>Data!$B27</f>
        <v>TKR19</v>
      </c>
      <c r="W34" s="3">
        <v>0</v>
      </c>
      <c r="Y34" s="53">
        <v>19</v>
      </c>
      <c r="Z34" s="6" t="str">
        <f>Data!$B27</f>
        <v>TKR19</v>
      </c>
      <c r="AA34" s="3">
        <v>0</v>
      </c>
      <c r="AC34" s="6">
        <v>19</v>
      </c>
      <c r="AD34" s="8">
        <f>Data!G27</f>
        <v>0</v>
      </c>
      <c r="AE34" s="8">
        <f>Data!H27</f>
        <v>1</v>
      </c>
    </row>
    <row r="35" spans="1:31" x14ac:dyDescent="0.3">
      <c r="A35" s="6">
        <v>20</v>
      </c>
      <c r="B35" s="6" t="str">
        <f>Data!$B28</f>
        <v>TKR20</v>
      </c>
      <c r="C35" s="3">
        <v>0</v>
      </c>
      <c r="E35" s="6">
        <v>20</v>
      </c>
      <c r="F35" s="6" t="str">
        <f>Data!$B28</f>
        <v>TKR20</v>
      </c>
      <c r="G35" s="3">
        <v>0</v>
      </c>
      <c r="I35" s="6">
        <v>20</v>
      </c>
      <c r="J35" s="6" t="str">
        <f>Data!$B28</f>
        <v>TKR20</v>
      </c>
      <c r="K35" s="3">
        <v>0</v>
      </c>
      <c r="M35" s="6">
        <v>20</v>
      </c>
      <c r="N35" s="6" t="str">
        <f>Data!$B28</f>
        <v>TKR20</v>
      </c>
      <c r="O35" s="3">
        <v>0</v>
      </c>
      <c r="Q35" s="6">
        <v>20</v>
      </c>
      <c r="R35" s="6" t="str">
        <f>Data!$B28</f>
        <v>TKR20</v>
      </c>
      <c r="S35" s="3">
        <v>0</v>
      </c>
      <c r="U35" s="6">
        <v>20</v>
      </c>
      <c r="V35" s="6" t="str">
        <f>Data!$B28</f>
        <v>TKR20</v>
      </c>
      <c r="W35" s="3">
        <v>0</v>
      </c>
      <c r="Y35" s="53">
        <v>20</v>
      </c>
      <c r="Z35" s="6" t="str">
        <f>Data!$B28</f>
        <v>TKR20</v>
      </c>
      <c r="AA35" s="3">
        <v>0</v>
      </c>
      <c r="AC35" s="6">
        <v>20</v>
      </c>
      <c r="AD35" s="8">
        <f>Data!G28</f>
        <v>0</v>
      </c>
      <c r="AE35" s="8">
        <f>Data!H28</f>
        <v>1</v>
      </c>
    </row>
    <row r="36" spans="1:31" x14ac:dyDescent="0.3">
      <c r="Y36" s="47"/>
      <c r="Z36" s="47"/>
      <c r="AA36" s="47"/>
    </row>
    <row r="37" spans="1:31" ht="18" customHeight="1" x14ac:dyDescent="0.35">
      <c r="A37" s="81" t="s">
        <v>71</v>
      </c>
      <c r="B37" s="80"/>
      <c r="C37" s="9">
        <f ca="1">SUM(Wts_P0)</f>
        <v>1</v>
      </c>
      <c r="E37" s="81" t="s">
        <v>71</v>
      </c>
      <c r="F37" s="80"/>
      <c r="G37" s="9">
        <f ca="1">SUM(Wts_P0A)</f>
        <v>0.99999999999999978</v>
      </c>
      <c r="I37" s="81" t="s">
        <v>71</v>
      </c>
      <c r="J37" s="80"/>
      <c r="K37" s="9">
        <f ca="1">SUM(Wts_P1)</f>
        <v>0.99999999999999978</v>
      </c>
      <c r="M37" s="81" t="s">
        <v>71</v>
      </c>
      <c r="N37" s="80"/>
      <c r="O37" s="9">
        <f ca="1">SUM(Wts_P2)</f>
        <v>1</v>
      </c>
      <c r="Q37" s="81" t="s">
        <v>71</v>
      </c>
      <c r="R37" s="80"/>
      <c r="S37" s="9">
        <f ca="1">SUM(Wts_P3)</f>
        <v>0.99999999999999967</v>
      </c>
      <c r="U37" s="81" t="s">
        <v>71</v>
      </c>
      <c r="V37" s="80"/>
      <c r="W37" s="9">
        <f ca="1">SUM(Wts_P4)</f>
        <v>0.99999999999999978</v>
      </c>
      <c r="Y37" s="81" t="s">
        <v>71</v>
      </c>
      <c r="Z37" s="79"/>
      <c r="AA37" s="50">
        <f ca="1">SUM(Wts_P5)</f>
        <v>0.99999999999999989</v>
      </c>
    </row>
    <row r="38" spans="1:31" ht="18" customHeight="1" x14ac:dyDescent="0.35">
      <c r="A38" s="82" t="s">
        <v>65</v>
      </c>
      <c r="B38" s="83"/>
      <c r="C38" s="50">
        <f ca="1">SUMPRODUCT(Wts_P0,Alpha)</f>
        <v>0</v>
      </c>
      <c r="E38" s="82" t="s">
        <v>65</v>
      </c>
      <c r="F38" s="83"/>
      <c r="G38" s="50">
        <f ca="1">SUMPRODUCT(Wts_P0A,Alpha)</f>
        <v>0</v>
      </c>
      <c r="I38" s="82" t="s">
        <v>65</v>
      </c>
      <c r="J38" s="83"/>
      <c r="K38" s="50">
        <f ca="1">SUMPRODUCT(Wts_P1,Alpha)</f>
        <v>0</v>
      </c>
      <c r="M38" s="82" t="s">
        <v>65</v>
      </c>
      <c r="N38" s="83"/>
      <c r="O38" s="50">
        <f ca="1">SUMPRODUCT(Wts_P2,Alpha)</f>
        <v>0</v>
      </c>
      <c r="Q38" s="82" t="s">
        <v>65</v>
      </c>
      <c r="R38" s="83"/>
      <c r="S38" s="50">
        <f ca="1">SUMPRODUCT(Wts_P3,Alpha)</f>
        <v>0</v>
      </c>
      <c r="U38" s="82" t="s">
        <v>65</v>
      </c>
      <c r="V38" s="83"/>
      <c r="W38" s="50">
        <f ca="1">SUMPRODUCT(Wts_P4,Alpha)</f>
        <v>0</v>
      </c>
      <c r="Y38" s="82" t="s">
        <v>65</v>
      </c>
      <c r="Z38" s="83"/>
      <c r="AA38" s="50">
        <f ca="1">SUMPRODUCT(Wts_P5,Alpha)</f>
        <v>0</v>
      </c>
    </row>
    <row r="39" spans="1:31" ht="18" customHeight="1" x14ac:dyDescent="0.35">
      <c r="A39" s="82" t="s">
        <v>66</v>
      </c>
      <c r="B39" s="83"/>
      <c r="C39" s="51">
        <f ca="1">SUMPRODUCT(Wts_P0,Beta)</f>
        <v>0.95010062023468411</v>
      </c>
      <c r="E39" s="82" t="s">
        <v>66</v>
      </c>
      <c r="F39" s="83"/>
      <c r="G39" s="51">
        <f ca="1">SUMPRODUCT(Wts_P0A,Beta)</f>
        <v>1.044681331692064</v>
      </c>
      <c r="I39" s="82" t="s">
        <v>66</v>
      </c>
      <c r="J39" s="83"/>
      <c r="K39" s="51">
        <f ca="1">SUMPRODUCT(Wts_P1,Beta)</f>
        <v>1.0546262732966589</v>
      </c>
      <c r="M39" s="82" t="s">
        <v>66</v>
      </c>
      <c r="N39" s="83"/>
      <c r="O39" s="51">
        <f ca="1">SUMPRODUCT(Wts_P2,Beta)</f>
        <v>1.8097166259896897</v>
      </c>
      <c r="Q39" s="82" t="s">
        <v>66</v>
      </c>
      <c r="R39" s="83"/>
      <c r="S39" s="51">
        <f ca="1">SUMPRODUCT(Wts_P3,Beta)</f>
        <v>1.0447041180629906</v>
      </c>
      <c r="U39" s="82" t="s">
        <v>66</v>
      </c>
      <c r="V39" s="83"/>
      <c r="W39" s="51">
        <f ca="1">SUMPRODUCT(Wts_P4,Beta)</f>
        <v>1.3035382413049532</v>
      </c>
      <c r="Y39" s="82" t="s">
        <v>66</v>
      </c>
      <c r="Z39" s="83"/>
      <c r="AA39" s="51">
        <f ca="1">SUMPRODUCT(Wts_P5,Beta)</f>
        <v>1.0446775779010675</v>
      </c>
    </row>
    <row r="40" spans="1:31" ht="18" customHeight="1" x14ac:dyDescent="0.35">
      <c r="A40" s="48" t="s">
        <v>67</v>
      </c>
      <c r="B40" s="49"/>
      <c r="C40" s="50">
        <f ca="1">SQRT(SUMPRODUCT(Wts_P0,Wts_P0,sigma_e,sigma_e))</f>
        <v>0.13374424667585758</v>
      </c>
      <c r="E40" s="48" t="s">
        <v>67</v>
      </c>
      <c r="F40" s="49"/>
      <c r="G40" s="50">
        <f t="array" aca="1" ref="G40" ca="1">SQRT(SUMPRODUCT(Wts_P0A,Wts_P0A,sigma_e,sigma_e))</f>
        <v>0.11723665786566766</v>
      </c>
      <c r="I40" s="48" t="s">
        <v>67</v>
      </c>
      <c r="J40" s="49"/>
      <c r="K40" s="50">
        <f t="array" aca="1" ref="K40" ca="1">SQRT(SUMPRODUCT(Wts_P1,Wts_P1,sigma_e,sigma_e))</f>
        <v>0.11452668679628047</v>
      </c>
      <c r="M40" s="48" t="s">
        <v>67</v>
      </c>
      <c r="N40" s="49"/>
      <c r="O40" s="50">
        <f ca="1">SQRT(SUMPRODUCT(Wts_P2,Wts_P2,sigma_e,sigma_e))</f>
        <v>0.23680064812845092</v>
      </c>
      <c r="Q40" s="48" t="s">
        <v>67</v>
      </c>
      <c r="R40" s="49"/>
      <c r="S40" s="50">
        <f ca="1">SQRT(SUMPRODUCT(Wts_P3,Wts_P3,sigma_e,sigma_e))</f>
        <v>0.11723006322490039</v>
      </c>
      <c r="U40" s="48" t="s">
        <v>67</v>
      </c>
      <c r="V40" s="49"/>
      <c r="W40" s="50">
        <f ca="1">SQRT(SUMPRODUCT(Wts_P4,Wts_P4,sigma_e,sigma_e))</f>
        <v>9.8048614754218805E-2</v>
      </c>
      <c r="Y40" s="48" t="s">
        <v>67</v>
      </c>
      <c r="Z40" s="49"/>
      <c r="AA40" s="50">
        <f ca="1">SQRT(SUMPRODUCT(Wts_P5,Wts_P5,sigma_e,sigma_e))</f>
        <v>0.11723774330219894</v>
      </c>
    </row>
    <row r="41" spans="1:31" ht="18" customHeight="1" x14ac:dyDescent="0.35">
      <c r="A41" s="79" t="s">
        <v>68</v>
      </c>
      <c r="B41" s="79"/>
      <c r="C41" s="8">
        <f ca="1">alpha_P0+rf+beta_P0*(ER_M-rf)</f>
        <v>7.8767485319796701E-2</v>
      </c>
      <c r="E41" s="79" t="s">
        <v>68</v>
      </c>
      <c r="F41" s="79"/>
      <c r="G41" s="8">
        <f ca="1">alpha_P0A+rf+beta_P0A*(ER_M-rf)</f>
        <v>8.1103628892793989E-2</v>
      </c>
      <c r="I41" s="79" t="s">
        <v>68</v>
      </c>
      <c r="J41" s="79"/>
      <c r="K41" s="8">
        <f ca="1">alpha_P1+rf+beta_P1*(ER_M-rf)</f>
        <v>8.1349268950427475E-2</v>
      </c>
      <c r="M41" s="79" t="s">
        <v>68</v>
      </c>
      <c r="N41" s="79"/>
      <c r="O41" s="8">
        <f ca="1">alpha_P2+rf+beta_P2*(ER_M-rf)</f>
        <v>0.10000000066194534</v>
      </c>
      <c r="Q41" s="79" t="s">
        <v>68</v>
      </c>
      <c r="R41" s="79"/>
      <c r="S41" s="8">
        <f ca="1">alpha_P3+rf+beta_P3*(ER_M-rf)</f>
        <v>8.1104191716155877E-2</v>
      </c>
      <c r="U41" s="79" t="s">
        <v>68</v>
      </c>
      <c r="V41" s="79"/>
      <c r="W41" s="8">
        <f ca="1">alpha_P4+rf+beta_P4*(ER_M-rf)</f>
        <v>8.7497394560232339E-2</v>
      </c>
      <c r="Y41" s="79" t="s">
        <v>68</v>
      </c>
      <c r="Z41" s="79"/>
      <c r="AA41" s="8">
        <f ca="1">alpha_P5+rf+beta_P5*(ER_M-rf)</f>
        <v>8.1103536174156374E-2</v>
      </c>
    </row>
    <row r="42" spans="1:31" ht="18" customHeight="1" x14ac:dyDescent="0.35">
      <c r="A42" s="79" t="s">
        <v>69</v>
      </c>
      <c r="B42" s="79"/>
      <c r="C42" s="8">
        <f ca="1">SQRT(beta_P0^2*sigma_M^2+sigma_e_P0^2)</f>
        <v>0.21710531552352966</v>
      </c>
      <c r="E42" s="79" t="s">
        <v>69</v>
      </c>
      <c r="F42" s="79"/>
      <c r="G42" s="8">
        <f ca="1">SQRT(beta_P0A^2*sigma_M^2+sigma_e_P0A^2)</f>
        <v>0.22159528039778939</v>
      </c>
      <c r="I42" s="79" t="s">
        <v>69</v>
      </c>
      <c r="J42" s="79"/>
      <c r="K42" s="8">
        <f ca="1">SQRT(beta_P1^2*sigma_M^2+sigma_e_P1^2)</f>
        <v>0.22170436861177889</v>
      </c>
      <c r="M42" s="79" t="s">
        <v>69</v>
      </c>
      <c r="N42" s="79"/>
      <c r="O42" s="8">
        <f ca="1">SQRT(beta_P2^2*sigma_M^2+sigma_e_P2^2)</f>
        <v>0.40272441344532373</v>
      </c>
      <c r="Q42" s="79" t="s">
        <v>69</v>
      </c>
      <c r="R42" s="79"/>
      <c r="S42" s="8">
        <f ca="1">SQRT(beta_P3^2*sigma_M^2+sigma_e_P3^2)</f>
        <v>0.221595272104262</v>
      </c>
      <c r="U42" s="79" t="s">
        <v>69</v>
      </c>
      <c r="V42" s="79"/>
      <c r="W42" s="8">
        <f ca="1">SQRT(beta_P4^2*sigma_M^2+sigma_e_P4^2)</f>
        <v>0.25429903248589075</v>
      </c>
      <c r="Y42" s="79" t="s">
        <v>69</v>
      </c>
      <c r="Z42" s="79"/>
      <c r="AA42" s="8">
        <f ca="1">SQRT(beta_P5^2*sigma_M^2+sigma_e_P5^2)</f>
        <v>0.22159528128531009</v>
      </c>
    </row>
    <row r="43" spans="1:31" ht="18" customHeight="1" x14ac:dyDescent="0.3">
      <c r="A43" s="79" t="s">
        <v>70</v>
      </c>
      <c r="B43" s="80"/>
      <c r="C43" s="7">
        <f ca="1">ER_P0-0.5*A*sigma_P0^2</f>
        <v>-3.9069309751631712E-2</v>
      </c>
      <c r="E43" s="79" t="s">
        <v>70</v>
      </c>
      <c r="F43" s="80"/>
      <c r="G43" s="7">
        <f ca="1">ER_P0A-0.5*A*sigma_P0A^2</f>
        <v>-4.1657541843643273E-2</v>
      </c>
      <c r="I43" s="79" t="s">
        <v>70</v>
      </c>
      <c r="J43" s="80"/>
      <c r="K43" s="7">
        <f ca="1">ER_P1-0.5*A*sigma_P1^2</f>
        <v>-4.1532798703441343E-2</v>
      </c>
      <c r="M43" s="79" t="s">
        <v>70</v>
      </c>
      <c r="N43" s="80"/>
      <c r="O43" s="7">
        <f ca="1">ER_P2-0.5*A*sigma_P2^2</f>
        <v>-0.30546738230025483</v>
      </c>
      <c r="Q43" s="79" t="s">
        <v>70</v>
      </c>
      <c r="R43" s="80"/>
      <c r="S43" s="7">
        <f ca="1">ER_P3-0.5*A*sigma_P3^2</f>
        <v>-4.1656969831248919E-2</v>
      </c>
      <c r="U43" s="79" t="s">
        <v>70</v>
      </c>
      <c r="V43" s="80"/>
      <c r="W43" s="7">
        <f ca="1">ER_P4-0.5*A*sigma_P4^2</f>
        <v>-7.4172600247917969E-2</v>
      </c>
      <c r="Y43" s="79" t="s">
        <v>70</v>
      </c>
      <c r="Z43" s="79"/>
      <c r="AA43" s="7">
        <f ca="1">ER_P5-0.5*A*sigma_P5^2</f>
        <v>-4.1657635545632885E-2</v>
      </c>
    </row>
    <row r="44" spans="1:31" ht="18" customHeight="1" x14ac:dyDescent="0.3">
      <c r="A44" s="79" t="s">
        <v>73</v>
      </c>
      <c r="B44" s="80"/>
      <c r="C44" s="15">
        <f ca="1">NORMDIST(0,ER_P0,sigma_P0,1)</f>
        <v>0.35837426090552327</v>
      </c>
      <c r="E44" s="79" t="s">
        <v>73</v>
      </c>
      <c r="F44" s="80"/>
      <c r="G44" s="15">
        <f ca="1">NORMDIST(0,ER_P0A,sigma_P0A,1)</f>
        <v>0.35718294815568652</v>
      </c>
      <c r="I44" s="79" t="s">
        <v>73</v>
      </c>
      <c r="J44" s="80"/>
      <c r="K44" s="15">
        <f ca="1">NORMDIST(0,ER_P1,sigma_P1,1)</f>
        <v>0.35683681944093809</v>
      </c>
      <c r="M44" s="79" t="s">
        <v>73</v>
      </c>
      <c r="N44" s="80"/>
      <c r="O44" s="15">
        <f ca="1">NORMDIST(0,ER_P2,sigma_P2,1)</f>
        <v>0.4019477599579715</v>
      </c>
      <c r="Q44" s="79" t="s">
        <v>73</v>
      </c>
      <c r="R44" s="80"/>
      <c r="S44" s="15">
        <f ca="1">NORMDIST(0,ER_P3,sigma_P3,1)</f>
        <v>0.35718199542657975</v>
      </c>
      <c r="U44" s="79" t="s">
        <v>73</v>
      </c>
      <c r="V44" s="80"/>
      <c r="W44" s="15">
        <f ca="1">NORMDIST(0,ER_P4,sigma_P4,1)</f>
        <v>0.36539574764197957</v>
      </c>
      <c r="Y44" s="79" t="s">
        <v>73</v>
      </c>
      <c r="Z44" s="79"/>
      <c r="AA44" s="15">
        <f ca="1">NORMDIST(0,ER_P5,sigma_P5,1)</f>
        <v>0.35718310481184956</v>
      </c>
    </row>
    <row r="45" spans="1:31" ht="18" customHeight="1" x14ac:dyDescent="0.3">
      <c r="A45" s="79" t="s">
        <v>72</v>
      </c>
      <c r="B45" s="80"/>
      <c r="C45" s="7">
        <f ca="1">IF(rf=0,ER_P0-rf,(ER_P0-rf)/sigma_P0)</f>
        <v>0.10809263358295489</v>
      </c>
      <c r="E45" s="79" t="s">
        <v>72</v>
      </c>
      <c r="F45" s="80"/>
      <c r="G45" s="7">
        <f ca="1">IF(rf=0,ER_P0A-rf,(ER_P0A-rf)/sigma_P0A)</f>
        <v>0.11644484867400362</v>
      </c>
      <c r="I45" s="79" t="s">
        <v>72</v>
      </c>
      <c r="J45" s="80"/>
      <c r="K45" s="7">
        <f ca="1">IF(rf=0,ER_P1-rf,(ER_P1-rf)/sigma_P1)</f>
        <v>0.11749551492168255</v>
      </c>
      <c r="M45" s="79" t="s">
        <v>72</v>
      </c>
      <c r="N45" s="80"/>
      <c r="O45" s="7">
        <f ca="1">IF(rf=0,ER_P2-rf,(ER_P2-rf)/sigma_P2)</f>
        <v>0.11099401766963918</v>
      </c>
      <c r="Q45" s="79" t="s">
        <v>72</v>
      </c>
      <c r="R45" s="80"/>
      <c r="S45" s="7">
        <f ca="1">IF(rf=0,ER_P3-rf,(ER_P3-rf)/sigma_P3)</f>
        <v>0.11644739290292637</v>
      </c>
      <c r="U45" s="79" t="s">
        <v>72</v>
      </c>
      <c r="V45" s="80"/>
      <c r="W45" s="7">
        <f ca="1">IF(rf=0,ER_P4-rf,(ER_P4-rf)/sigma_P4)</f>
        <v>0.12661233605762437</v>
      </c>
      <c r="Y45" s="79" t="s">
        <v>72</v>
      </c>
      <c r="Z45" s="79"/>
      <c r="AA45" s="7">
        <f ca="1">IF(rf=0,ER_P5-rf,(ER_P5-rf)/sigma_P5)</f>
        <v>0.11644442979331135</v>
      </c>
    </row>
    <row r="48" spans="1:31" x14ac:dyDescent="0.3">
      <c r="A48" s="10"/>
      <c r="B48" s="10"/>
      <c r="C48" s="10"/>
      <c r="L48" s="10"/>
      <c r="M48" s="10"/>
      <c r="N48" s="10"/>
      <c r="O48" s="10"/>
      <c r="P48" s="10"/>
      <c r="Q48" s="10"/>
      <c r="T48" s="10"/>
      <c r="U48" s="10"/>
    </row>
    <row r="52" spans="22:23" x14ac:dyDescent="0.3">
      <c r="V52" s="88" t="s">
        <v>98</v>
      </c>
      <c r="W52" s="88"/>
    </row>
    <row r="53" spans="22:23" x14ac:dyDescent="0.3">
      <c r="V53" s="20">
        <v>0</v>
      </c>
      <c r="W53" s="20">
        <f>rf</f>
        <v>5.5300000000000002E-2</v>
      </c>
    </row>
    <row r="54" spans="22:23" x14ac:dyDescent="0.3">
      <c r="V54" s="15">
        <f ca="1">sigma_P4</f>
        <v>0.25429903248589075</v>
      </c>
      <c r="W54" s="15">
        <f ca="1">ER_P4</f>
        <v>8.7497394560232339E-2</v>
      </c>
    </row>
    <row r="55" spans="22:23" x14ac:dyDescent="0.3">
      <c r="V55" s="15">
        <f ca="1">V54*1.5</f>
        <v>0.38144854872883616</v>
      </c>
      <c r="W55" s="15">
        <f ca="1">W53+(W54-W53)*1.5</f>
        <v>0.10359609184034851</v>
      </c>
    </row>
  </sheetData>
  <mergeCells count="68">
    <mergeCell ref="V52:W52"/>
    <mergeCell ref="Y41:Z41"/>
    <mergeCell ref="Y42:Z42"/>
    <mergeCell ref="Y43:Z43"/>
    <mergeCell ref="Y44:Z44"/>
    <mergeCell ref="Y45:Z45"/>
    <mergeCell ref="U45:V45"/>
    <mergeCell ref="Z11:AA11"/>
    <mergeCell ref="Y37:Z37"/>
    <mergeCell ref="Y38:Z38"/>
    <mergeCell ref="Y39:Z39"/>
    <mergeCell ref="U7:W8"/>
    <mergeCell ref="Y7:AA8"/>
    <mergeCell ref="I44:J44"/>
    <mergeCell ref="I37:J37"/>
    <mergeCell ref="M38:N38"/>
    <mergeCell ref="M39:N39"/>
    <mergeCell ref="A38:B38"/>
    <mergeCell ref="A39:B39"/>
    <mergeCell ref="E38:F38"/>
    <mergeCell ref="E39:F39"/>
    <mergeCell ref="I38:J38"/>
    <mergeCell ref="I39:J39"/>
    <mergeCell ref="E44:F44"/>
    <mergeCell ref="Q45:R45"/>
    <mergeCell ref="A45:B45"/>
    <mergeCell ref="A37:B37"/>
    <mergeCell ref="A41:B41"/>
    <mergeCell ref="A42:B42"/>
    <mergeCell ref="A43:B43"/>
    <mergeCell ref="A44:B44"/>
    <mergeCell ref="I45:J45"/>
    <mergeCell ref="I43:J43"/>
    <mergeCell ref="M43:N43"/>
    <mergeCell ref="I41:J41"/>
    <mergeCell ref="I42:J42"/>
    <mergeCell ref="M45:N45"/>
    <mergeCell ref="M41:N41"/>
    <mergeCell ref="M37:N37"/>
    <mergeCell ref="M44:N44"/>
    <mergeCell ref="R11:S11"/>
    <mergeCell ref="Q37:R37"/>
    <mergeCell ref="Q42:R42"/>
    <mergeCell ref="A2:F2"/>
    <mergeCell ref="M42:N42"/>
    <mergeCell ref="N11:O11"/>
    <mergeCell ref="A7:C8"/>
    <mergeCell ref="E7:G8"/>
    <mergeCell ref="I7:K8"/>
    <mergeCell ref="M7:O8"/>
    <mergeCell ref="Q7:S8"/>
    <mergeCell ref="Q44:R44"/>
    <mergeCell ref="Q41:R41"/>
    <mergeCell ref="U37:V37"/>
    <mergeCell ref="U41:V41"/>
    <mergeCell ref="U42:V42"/>
    <mergeCell ref="U44:V44"/>
    <mergeCell ref="Q38:R38"/>
    <mergeCell ref="Q39:R39"/>
    <mergeCell ref="U38:V38"/>
    <mergeCell ref="U39:V39"/>
    <mergeCell ref="Q43:R43"/>
    <mergeCell ref="U43:V43"/>
    <mergeCell ref="E45:F45"/>
    <mergeCell ref="E37:F37"/>
    <mergeCell ref="E41:F41"/>
    <mergeCell ref="E42:F42"/>
    <mergeCell ref="E43:F43"/>
  </mergeCells>
  <conditionalFormatting sqref="P13 T13">
    <cfRule type="expression" dxfId="22" priority="72">
      <formula>P13="Error"</formula>
    </cfRule>
  </conditionalFormatting>
  <conditionalFormatting sqref="AD30">
    <cfRule type="expression" dxfId="21" priority="30">
      <formula>X30&gt;NStocks</formula>
    </cfRule>
  </conditionalFormatting>
  <conditionalFormatting sqref="AD16:AE35">
    <cfRule type="expression" dxfId="20" priority="29">
      <formula>$AC16&gt;NStocks</formula>
    </cfRule>
  </conditionalFormatting>
  <conditionalFormatting sqref="C16:C35">
    <cfRule type="expression" dxfId="19" priority="75">
      <formula>$A16&gt;NStocks</formula>
    </cfRule>
  </conditionalFormatting>
  <conditionalFormatting sqref="B16:B35">
    <cfRule type="expression" dxfId="18" priority="13">
      <formula>$A16&gt;NStocks</formula>
    </cfRule>
  </conditionalFormatting>
  <conditionalFormatting sqref="G16:G35">
    <cfRule type="expression" dxfId="17" priority="78">
      <formula>$E16&gt;NStocks</formula>
    </cfRule>
  </conditionalFormatting>
  <conditionalFormatting sqref="F16:F35">
    <cfRule type="expression" dxfId="16" priority="12">
      <formula>$A16&gt;NStocks</formula>
    </cfRule>
  </conditionalFormatting>
  <conditionalFormatting sqref="F16:F35">
    <cfRule type="expression" dxfId="15" priority="11">
      <formula>$A16&gt;NStocks</formula>
    </cfRule>
  </conditionalFormatting>
  <conditionalFormatting sqref="K16:K35">
    <cfRule type="expression" dxfId="14" priority="81">
      <formula>$I16&gt;NStocks</formula>
    </cfRule>
  </conditionalFormatting>
  <conditionalFormatting sqref="J16:J35">
    <cfRule type="expression" dxfId="13" priority="10">
      <formula>$A16&gt;NStocks</formula>
    </cfRule>
  </conditionalFormatting>
  <conditionalFormatting sqref="J16:J35">
    <cfRule type="expression" dxfId="12" priority="9">
      <formula>$A16&gt;NStocks</formula>
    </cfRule>
  </conditionalFormatting>
  <conditionalFormatting sqref="O16:O35">
    <cfRule type="expression" dxfId="11" priority="84">
      <formula>$M16&gt;NStocks</formula>
    </cfRule>
  </conditionalFormatting>
  <conditionalFormatting sqref="N16:N35">
    <cfRule type="expression" dxfId="10" priority="8">
      <formula>$A16&gt;NStocks</formula>
    </cfRule>
  </conditionalFormatting>
  <conditionalFormatting sqref="N16:N35">
    <cfRule type="expression" dxfId="9" priority="7">
      <formula>$A16&gt;NStocks</formula>
    </cfRule>
  </conditionalFormatting>
  <conditionalFormatting sqref="S16:S35">
    <cfRule type="expression" dxfId="8" priority="87">
      <formula>$Q16&gt;NStocks</formula>
    </cfRule>
  </conditionalFormatting>
  <conditionalFormatting sqref="R16:R35">
    <cfRule type="expression" dxfId="7" priority="6">
      <formula>$A16&gt;NStocks</formula>
    </cfRule>
  </conditionalFormatting>
  <conditionalFormatting sqref="R16:R35">
    <cfRule type="expression" dxfId="6" priority="5">
      <formula>$A16&gt;NStocks</formula>
    </cfRule>
  </conditionalFormatting>
  <conditionalFormatting sqref="W16:W35">
    <cfRule type="expression" dxfId="5" priority="90">
      <formula>$U16&gt;NStocks</formula>
    </cfRule>
  </conditionalFormatting>
  <conditionalFormatting sqref="V16:V35">
    <cfRule type="expression" dxfId="4" priority="4">
      <formula>$A16&gt;NStocks</formula>
    </cfRule>
  </conditionalFormatting>
  <conditionalFormatting sqref="V16:V35">
    <cfRule type="expression" dxfId="3" priority="3">
      <formula>$A16&gt;NStocks</formula>
    </cfRule>
  </conditionalFormatting>
  <conditionalFormatting sqref="AA16:AA35">
    <cfRule type="expression" dxfId="2" priority="93">
      <formula>$Y16&gt;NStocks</formula>
    </cfRule>
  </conditionalFormatting>
  <conditionalFormatting sqref="Z16:Z35">
    <cfRule type="expression" dxfId="1" priority="2">
      <formula>$A16&gt;NStocks</formula>
    </cfRule>
  </conditionalFormatting>
  <conditionalFormatting sqref="Z16:Z35">
    <cfRule type="expression" dxfId="0" priority="1">
      <formula>$A16&gt;NStocks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2" r:id="rId4" name="Button 6">
              <controlPr defaultSize="0" print="0" autoFill="0" autoPict="0" macro="[0]!Optimize">
                <anchor moveWithCells="1" sizeWithCells="1">
                  <from>
                    <xdr:col>4</xdr:col>
                    <xdr:colOff>403860</xdr:colOff>
                    <xdr:row>2</xdr:row>
                    <xdr:rowOff>152400</xdr:rowOff>
                  </from>
                  <to>
                    <xdr:col>6</xdr:col>
                    <xdr:colOff>480060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81</vt:i4>
      </vt:variant>
    </vt:vector>
  </HeadingPairs>
  <TitlesOfParts>
    <vt:vector size="85" baseType="lpstr">
      <vt:lpstr>Introduction</vt:lpstr>
      <vt:lpstr>Data</vt:lpstr>
      <vt:lpstr>Models</vt:lpstr>
      <vt:lpstr>Chart1</vt:lpstr>
      <vt:lpstr>A</vt:lpstr>
      <vt:lpstr>AllWts_P0</vt:lpstr>
      <vt:lpstr>AllWts_P0A</vt:lpstr>
      <vt:lpstr>AllWts_P1</vt:lpstr>
      <vt:lpstr>AllWts_P2</vt:lpstr>
      <vt:lpstr>AllWts_P3</vt:lpstr>
      <vt:lpstr>AllWts_P4</vt:lpstr>
      <vt:lpstr>AllWts_P5</vt:lpstr>
      <vt:lpstr>alpha_P0</vt:lpstr>
      <vt:lpstr>alpha_P0A</vt:lpstr>
      <vt:lpstr>alpha_P1</vt:lpstr>
      <vt:lpstr>alpha_P2</vt:lpstr>
      <vt:lpstr>alpha_P3</vt:lpstr>
      <vt:lpstr>alpha_P4</vt:lpstr>
      <vt:lpstr>alpha_P5</vt:lpstr>
      <vt:lpstr>beta_P0</vt:lpstr>
      <vt:lpstr>beta_P0A</vt:lpstr>
      <vt:lpstr>beta_P1</vt:lpstr>
      <vt:lpstr>beta_P2</vt:lpstr>
      <vt:lpstr>beta_P3</vt:lpstr>
      <vt:lpstr>beta_P4</vt:lpstr>
      <vt:lpstr>beta_P5</vt:lpstr>
      <vt:lpstr>beta_P5_Max</vt:lpstr>
      <vt:lpstr>beta_P5_Min</vt:lpstr>
      <vt:lpstr>ConstrainWeights</vt:lpstr>
      <vt:lpstr>ER_M</vt:lpstr>
      <vt:lpstr>ER_P0</vt:lpstr>
      <vt:lpstr>ER_P0A</vt:lpstr>
      <vt:lpstr>ER_P1</vt:lpstr>
      <vt:lpstr>ER_P2</vt:lpstr>
      <vt:lpstr>ER_P2_Max</vt:lpstr>
      <vt:lpstr>ER_P2_Min</vt:lpstr>
      <vt:lpstr>ER_P3</vt:lpstr>
      <vt:lpstr>ER_P4</vt:lpstr>
      <vt:lpstr>ER_P5</vt:lpstr>
      <vt:lpstr>EU_P0</vt:lpstr>
      <vt:lpstr>EU_P1</vt:lpstr>
      <vt:lpstr>EU_P2</vt:lpstr>
      <vt:lpstr>EU_P3</vt:lpstr>
      <vt:lpstr>EU_P4</vt:lpstr>
      <vt:lpstr>MaxWtsColumnTitle</vt:lpstr>
      <vt:lpstr>MinWtsColumnTitle</vt:lpstr>
      <vt:lpstr>NStocks</vt:lpstr>
      <vt:lpstr>PoL_P0</vt:lpstr>
      <vt:lpstr>PoL_P1</vt:lpstr>
      <vt:lpstr>PoL_P2</vt:lpstr>
      <vt:lpstr>PoL_P3</vt:lpstr>
      <vt:lpstr>PoL_P4</vt:lpstr>
      <vt:lpstr>PoL_P5</vt:lpstr>
      <vt:lpstr>rf</vt:lpstr>
      <vt:lpstr>sigma_e_P0</vt:lpstr>
      <vt:lpstr>sigma_e_P0A</vt:lpstr>
      <vt:lpstr>sigma_e_P1</vt:lpstr>
      <vt:lpstr>sigma_e_P2</vt:lpstr>
      <vt:lpstr>sigma_e_P3</vt:lpstr>
      <vt:lpstr>sigma_e_P4</vt:lpstr>
      <vt:lpstr>sigma_e_P5</vt:lpstr>
      <vt:lpstr>sigma_M</vt:lpstr>
      <vt:lpstr>sigma_P0</vt:lpstr>
      <vt:lpstr>sigma_P0A</vt:lpstr>
      <vt:lpstr>sigma_P1</vt:lpstr>
      <vt:lpstr>sigma_P2</vt:lpstr>
      <vt:lpstr>sigma_P3</vt:lpstr>
      <vt:lpstr>sigma_P3_Max</vt:lpstr>
      <vt:lpstr>sigma_P3_Min</vt:lpstr>
      <vt:lpstr>sigma_P4</vt:lpstr>
      <vt:lpstr>sigma_P5</vt:lpstr>
      <vt:lpstr>Slope_P0</vt:lpstr>
      <vt:lpstr>Slope_P1</vt:lpstr>
      <vt:lpstr>Slope_P2</vt:lpstr>
      <vt:lpstr>Slope_P3</vt:lpstr>
      <vt:lpstr>Slope_P4</vt:lpstr>
      <vt:lpstr>StockTitle</vt:lpstr>
      <vt:lpstr>StockTitleRow</vt:lpstr>
      <vt:lpstr>SumWts_P0</vt:lpstr>
      <vt:lpstr>SumWts_P0A</vt:lpstr>
      <vt:lpstr>SumWts_P1</vt:lpstr>
      <vt:lpstr>SumWts_P2</vt:lpstr>
      <vt:lpstr>SumWts_P3</vt:lpstr>
      <vt:lpstr>SumWts_P4</vt:lpstr>
      <vt:lpstr>SumWts_P5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 Shukla</dc:creator>
  <cp:lastModifiedBy>Anish Kumar</cp:lastModifiedBy>
  <cp:lastPrinted>2008-10-16T12:03:43Z</cp:lastPrinted>
  <dcterms:created xsi:type="dcterms:W3CDTF">1996-10-14T23:33:28Z</dcterms:created>
  <dcterms:modified xsi:type="dcterms:W3CDTF">2023-12-08T02:36:05Z</dcterms:modified>
</cp:coreProperties>
</file>